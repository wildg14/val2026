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manfattning" sheetId="1" state="visible" r:id="rId3"/>
    <sheet name="RD" sheetId="2" state="visible" r:id="rId4"/>
    <sheet name="RF" sheetId="3" state="visible" r:id="rId5"/>
    <sheet name="KF" sheetId="4" state="visible" r:id="rId6"/>
    <sheet name="Metod &amp; källo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<sst xmlns="http://schemas.openxmlformats.org/spreadsheetml/2006/main" count="263" uniqueCount="91">
  <si>
    <t xml:space="preserve">Så röstade Majorna i valet 2022</t>
  </si>
  <si>
    <t xml:space="preserve">Klassiska stadsdelen Majorna = primärområdena Majorna (103), Stigberget (104), Kungsladugård (101), Sanna (102) — 23 valdistrikt. Slutlig rösträkning.</t>
  </si>
  <si>
    <t xml:space="preserve">Riksdagsvalet</t>
  </si>
  <si>
    <t xml:space="preserve">Parti</t>
  </si>
  <si>
    <t xml:space="preserve">Röster Majorna</t>
  </si>
  <si>
    <t xml:space="preserve">Andel Majorna</t>
  </si>
  <si>
    <t xml:space="preserve">Andel Göteborg</t>
  </si>
  <si>
    <t xml:space="preserve">Andel Riket</t>
  </si>
  <si>
    <t xml:space="preserve">V</t>
  </si>
  <si>
    <t xml:space="preserve">S</t>
  </si>
  <si>
    <t xml:space="preserve">MP</t>
  </si>
  <si>
    <t xml:space="preserve">SD</t>
  </si>
  <si>
    <t xml:space="preserve">M</t>
  </si>
  <si>
    <t xml:space="preserve">C</t>
  </si>
  <si>
    <t xml:space="preserve">L</t>
  </si>
  <si>
    <t xml:space="preserve">KD</t>
  </si>
  <si>
    <t xml:space="preserve">Övriga</t>
  </si>
  <si>
    <t xml:space="preserve">Giltiga röster</t>
  </si>
  <si>
    <t xml:space="preserve">Valdeltagande</t>
  </si>
  <si>
    <t xml:space="preserve">Regionvalet (Västra Götaland)</t>
  </si>
  <si>
    <t xml:space="preserve">Andel Västra Götaland</t>
  </si>
  <si>
    <t xml:space="preserve">D</t>
  </si>
  <si>
    <t xml:space="preserve">FI</t>
  </si>
  <si>
    <t xml:space="preserve">Kommunvalet (Göteborg)</t>
  </si>
  <si>
    <t xml:space="preserve">K</t>
  </si>
  <si>
    <t xml:space="preserve">Distriktskod</t>
  </si>
  <si>
    <t xml:space="preserve">Valdistrikt</t>
  </si>
  <si>
    <t xml:space="preserve">Röstande</t>
  </si>
  <si>
    <t xml:space="preserve">Röstberättigade</t>
  </si>
  <si>
    <t xml:space="preserve">14800526</t>
  </si>
  <si>
    <t xml:space="preserve">Svalebo</t>
  </si>
  <si>
    <t xml:space="preserve">14800527</t>
  </si>
  <si>
    <t xml:space="preserve">Skytteskogen</t>
  </si>
  <si>
    <t xml:space="preserve">14800528</t>
  </si>
  <si>
    <t xml:space="preserve">Kungsladugård Östra</t>
  </si>
  <si>
    <t xml:space="preserve">14800529</t>
  </si>
  <si>
    <t xml:space="preserve">Kungsladugård Västra</t>
  </si>
  <si>
    <t xml:space="preserve">14800530</t>
  </si>
  <si>
    <t xml:space="preserve">Mariaplan</t>
  </si>
  <si>
    <t xml:space="preserve">14800531</t>
  </si>
  <si>
    <t xml:space="preserve">Silverkällan</t>
  </si>
  <si>
    <t xml:space="preserve">14800532</t>
  </si>
  <si>
    <t xml:space="preserve">Sannaplan</t>
  </si>
  <si>
    <t xml:space="preserve">14800533</t>
  </si>
  <si>
    <t xml:space="preserve">Sandarne</t>
  </si>
  <si>
    <t xml:space="preserve">14800534</t>
  </si>
  <si>
    <t xml:space="preserve">Klippan</t>
  </si>
  <si>
    <t xml:space="preserve">14800535</t>
  </si>
  <si>
    <t xml:space="preserve">Gröna Vallen</t>
  </si>
  <si>
    <t xml:space="preserve">14800536</t>
  </si>
  <si>
    <t xml:space="preserve">Kusttorget</t>
  </si>
  <si>
    <t xml:space="preserve">14800537</t>
  </si>
  <si>
    <t xml:space="preserve">Chapmans Torg</t>
  </si>
  <si>
    <t xml:space="preserve">14800538</t>
  </si>
  <si>
    <t xml:space="preserve">Slottsskogsgat. m fl</t>
  </si>
  <si>
    <t xml:space="preserve">14800539</t>
  </si>
  <si>
    <t xml:space="preserve">Gråberget Västra</t>
  </si>
  <si>
    <t xml:space="preserve">14800540</t>
  </si>
  <si>
    <t xml:space="preserve">Gråberget Östra</t>
  </si>
  <si>
    <t xml:space="preserve">14800541</t>
  </si>
  <si>
    <t xml:space="preserve">Godhem</t>
  </si>
  <si>
    <t xml:space="preserve">14800542</t>
  </si>
  <si>
    <t xml:space="preserve">Marieberg</t>
  </si>
  <si>
    <t xml:space="preserve">14800543</t>
  </si>
  <si>
    <t xml:space="preserve">Klareborgsgatan m fl</t>
  </si>
  <si>
    <t xml:space="preserve">14800544</t>
  </si>
  <si>
    <t xml:space="preserve">Karl Johan</t>
  </si>
  <si>
    <t xml:space="preserve">14800545</t>
  </si>
  <si>
    <t xml:space="preserve">Söderlingska Ängen</t>
  </si>
  <si>
    <t xml:space="preserve">14800546</t>
  </si>
  <si>
    <t xml:space="preserve">Kommendörsgatan m fl</t>
  </si>
  <si>
    <t xml:space="preserve">14800547</t>
  </si>
  <si>
    <t xml:space="preserve">Hängmattan</t>
  </si>
  <si>
    <t xml:space="preserve">14800548</t>
  </si>
  <si>
    <t xml:space="preserve">Gatenhielmska</t>
  </si>
  <si>
    <t xml:space="preserve">Majorna totalt</t>
  </si>
  <si>
    <t xml:space="preserve">Metod och källor</t>
  </si>
  <si>
    <t xml:space="preserve">Avgränsning: "Klassiska Majorna" = primärområdena 101 Kungsladugård, 102 Sanna, 103 Majorna, 104 Stigberget (Göteborgs Stads områdesindelning).</t>
  </si>
  <si>
    <t xml:space="preserve">Valdistrikt identifierade genom GIS-överlagring: Valmyndighetens valdistriktspolygoner (valgeografi 2022, SWEREF99 TM) mot Göteborgs Stads primärområdesgränser (stadens ArcGIS-tjänst GTB_adm_primäromraden).</t>
  </si>
  <si>
    <t xml:space="preserve">Resultat: exakt 23 valdistrikt (14800526–14800548, valkrets Västra Centrum). 22 av 23 ligger till 100,0 % inom området; Söderlingska Ängen (14800545) till 98,4 %. Tillsammans täcker de 100,00 % av områdets yta.</t>
  </si>
  <si>
    <t xml:space="preserve">Distriktens NAMN är inte tillförlitliga för områdestillhörighet: t.ex. ligger valdistriktet "Stigberget" (14800503) i primärområde Masthugget, inte i Stigberget.</t>
  </si>
  <si>
    <t xml:space="preserve">Röstdata: Valmyndighetens slutliga rösträkning per valdistrikt, riksdags-, region- och kommunvalet 2022 (rådatafiler från val.se, "Röster per distrikt - slutligt antal röster inklusive totalt valdeltagande").</t>
  </si>
  <si>
    <t xml:space="preserve">Andel = parti / summa giltiga röster. Valdeltagande = röstande / röstberättigade.</t>
  </si>
  <si>
    <t xml:space="preserve">Jämförelsetal Göteborg inkluderar uppsamlingsdistriktet (som saknar geografi och därför inte kan fördelas på stadsdelar). Majornas siffror omfattar de 23 geografiska distrikten.</t>
  </si>
  <si>
    <t xml:space="preserve">Röstberättigade skiljer sig mellan riksdagsval (endast svenska medborgare) och region-/kommunval.</t>
  </si>
  <si>
    <t xml:space="preserve">Verifiering: distriktssiffror stickprovskontrollerade mot SVT:s publicerade valresultat (identiska), rikets och Göteborgs procentsatser kontrollerade mot officiellt slutresultat (identiska: t.ex. riket S 30,33 %, valdeltagande 84,21 %; Göteborg valdeltagande 80,71 %).</t>
  </si>
  <si>
    <t xml:space="preserve">Källor:</t>
  </si>
  <si>
    <t xml:space="preserve">https://www.val.se/valresultat-och-statistik/statistik-och-data/radata-fran-val-2002-2022</t>
  </si>
  <si>
    <t xml:space="preserve">https://services2.arcgis.com/RMXSOC2JOPM3VHaW/arcgis/rest/services/GTB_adm_primäromraden/FeatureServer</t>
  </si>
  <si>
    <t xml:space="preserve">https://goteborg.se (områdesindelning: stadsområden, mellanområden, primärområden)</t>
  </si>
  <si>
    <t xml:space="preserve">Sammanställd 2026-09-02.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</si>
</sst>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6" t="n">
        <f aca="false">RD!C25</f>
        <v>5793</v>
      </c>
      <c r="C6" s="7" t="n">
        <f aca="false">B6/$B$15</f>
        <v>0.271869720292848</v>
      </c>
      <c r="D6" s="7" t="n">
        <v>0.128497881032431</v>
      </c>
      <c r="E6" s="7" t="n">
        <v>0.0674671231882828</v>
      </c>
    </row>
    <row r="7" customFormat="false" ht="15" hidden="false" customHeight="false" outlineLevel="0" collapsed="false">
      <c r="A7" s="5" t="s">
        <v>9</v>
      </c>
      <c r="B7" s="6" t="n">
        <f aca="false">RD!D25</f>
        <v>5515</v>
      </c>
      <c r="C7" s="7" t="n">
        <f aca="false">B7/$B$15</f>
        <v>0.258822977285527</v>
      </c>
      <c r="D7" s="7" t="n">
        <v>0.276517344995578</v>
      </c>
      <c r="E7" s="7" t="n">
        <v>0.303254568946753</v>
      </c>
    </row>
    <row r="8" customFormat="false" ht="15" hidden="false" customHeight="false" outlineLevel="0" collapsed="false">
      <c r="A8" s="5" t="s">
        <v>10</v>
      </c>
      <c r="B8" s="6" t="n">
        <f aca="false">RD!E25</f>
        <v>3349</v>
      </c>
      <c r="C8" s="7" t="n">
        <f aca="false">B8/$B$15</f>
        <v>0.157171015581002</v>
      </c>
      <c r="D8" s="7" t="n">
        <v>0.0791839886143306</v>
      </c>
      <c r="E8" s="7" t="n">
        <v>0.0508248726066962</v>
      </c>
    </row>
    <row r="9" customFormat="false" ht="15" hidden="false" customHeight="false" outlineLevel="0" collapsed="false">
      <c r="A9" s="5" t="s">
        <v>11</v>
      </c>
      <c r="B9" s="6" t="n">
        <f aca="false">RD!F25</f>
        <v>2152</v>
      </c>
      <c r="C9" s="7" t="n">
        <f aca="false">B9/$B$15</f>
        <v>0.100994931481134</v>
      </c>
      <c r="D9" s="7" t="n">
        <v>0.146610660236299</v>
      </c>
      <c r="E9" s="7" t="n">
        <v>0.205361401797168</v>
      </c>
    </row>
    <row r="10" customFormat="false" ht="15" hidden="false" customHeight="false" outlineLevel="0" collapsed="false">
      <c r="A10" s="5" t="s">
        <v>12</v>
      </c>
      <c r="B10" s="6" t="n">
        <f aca="false">RD!G25</f>
        <v>1894</v>
      </c>
      <c r="C10" s="7" t="n">
        <f aca="false">B10/$B$15</f>
        <v>0.0888868030786559</v>
      </c>
      <c r="D10" s="7" t="n">
        <v>0.184835625160255</v>
      </c>
      <c r="E10" s="7" t="n">
        <v>0.191020952551494</v>
      </c>
    </row>
    <row r="11" customFormat="false" ht="15" hidden="false" customHeight="false" outlineLevel="0" collapsed="false">
      <c r="A11" s="5" t="s">
        <v>13</v>
      </c>
      <c r="B11" s="6" t="n">
        <f aca="false">RD!H25</f>
        <v>910</v>
      </c>
      <c r="C11" s="7" t="n">
        <f aca="false">B11/$B$15</f>
        <v>0.0427069645203679</v>
      </c>
      <c r="D11" s="7" t="n">
        <v>0.0586079636303921</v>
      </c>
      <c r="E11" s="7" t="n">
        <v>0.0671421757124531</v>
      </c>
    </row>
    <row r="12" customFormat="false" ht="15" hidden="false" customHeight="false" outlineLevel="0" collapsed="false">
      <c r="A12" s="5" t="s">
        <v>14</v>
      </c>
      <c r="B12" s="6" t="n">
        <f aca="false">RD!I25</f>
        <v>886</v>
      </c>
      <c r="C12" s="7" t="n">
        <f aca="false">B12/$B$15</f>
        <v>0.041580626994556</v>
      </c>
      <c r="D12" s="7" t="n">
        <v>0.0585330579107642</v>
      </c>
      <c r="E12" s="7" t="n">
        <v>0.046085733648041</v>
      </c>
    </row>
    <row r="13" customFormat="false" ht="15" hidden="false" customHeight="false" outlineLevel="0" collapsed="false">
      <c r="A13" s="5" t="s">
        <v>15</v>
      </c>
      <c r="B13" s="6" t="n">
        <f aca="false">RD!J25</f>
        <v>491</v>
      </c>
      <c r="C13" s="7" t="n">
        <f aca="false">B13/$B$15</f>
        <v>0.0230429885489018</v>
      </c>
      <c r="D13" s="7" t="n">
        <v>0.0437046064136582</v>
      </c>
      <c r="E13" s="7" t="n">
        <v>0.0533673357548738</v>
      </c>
    </row>
    <row r="14" customFormat="false" ht="15" hidden="false" customHeight="false" outlineLevel="0" collapsed="false">
      <c r="A14" s="5" t="s">
        <v>16</v>
      </c>
      <c r="B14" s="6" t="n">
        <f aca="false">RD!K25</f>
        <v>318</v>
      </c>
      <c r="C14" s="7" t="n">
        <f aca="false">B14/$B$15</f>
        <v>0.0149239722170077</v>
      </c>
    </row>
    <row r="15" customFormat="false" ht="15" hidden="false" customHeight="false" outlineLevel="0" collapsed="false">
      <c r="A15" s="8" t="s">
        <v>17</v>
      </c>
      <c r="B15" s="9" t="n">
        <f aca="false">SUM(B6:B14)</f>
        <v>21308</v>
      </c>
    </row>
    <row r="16" customFormat="false" ht="15" hidden="false" customHeight="false" outlineLevel="0" collapsed="false">
      <c r="A16" s="5" t="s">
        <v>18</v>
      </c>
      <c r="B16" s="7" t="n">
        <f aca="false">RD!O25</f>
        <v>0.827635218192993</v>
      </c>
      <c r="D16" s="7" t="n">
        <v>0.8071</v>
      </c>
      <c r="E16" s="7" t="n">
        <v>0.842118658999742</v>
      </c>
    </row>
    <row r="19" customFormat="false" ht="15" hidden="false" customHeight="false" outlineLevel="0" collapsed="false">
      <c r="A19" s="3" t="s">
        <v>19</v>
      </c>
    </row>
    <row r="20" customFormat="false" ht="15" hidden="false" customHeight="false" outlineLevel="0" collapsed="false">
      <c r="A20" s="4" t="s">
        <v>3</v>
      </c>
      <c r="B20" s="4" t="s">
        <v>4</v>
      </c>
      <c r="C20" s="4" t="s">
        <v>5</v>
      </c>
      <c r="D20" s="4" t="s">
        <v>6</v>
      </c>
      <c r="E20" s="4" t="s">
        <v>20</v>
      </c>
    </row>
    <row r="21" customFormat="false" ht="15" hidden="false" customHeight="false" outlineLevel="0" collapsed="false">
      <c r="A21" s="5" t="s">
        <v>8</v>
      </c>
      <c r="B21" s="6" t="n">
        <f aca="false">RF!C25</f>
        <v>7723</v>
      </c>
      <c r="C21" s="7" t="n">
        <f aca="false">B21/$B$32</f>
        <v>0.35804357904497</v>
      </c>
      <c r="D21" s="7" t="n">
        <v>0.166084966385353</v>
      </c>
      <c r="E21" s="7" t="n">
        <v>0.100400199450954</v>
      </c>
    </row>
    <row r="22" customFormat="false" ht="15" hidden="false" customHeight="false" outlineLevel="0" collapsed="false">
      <c r="A22" s="5" t="s">
        <v>9</v>
      </c>
      <c r="B22" s="6" t="n">
        <f aca="false">RF!D25</f>
        <v>5519</v>
      </c>
      <c r="C22" s="7" t="n">
        <f aca="false">B22/$B$32</f>
        <v>0.255864626796477</v>
      </c>
      <c r="D22" s="7" t="n">
        <v>0.279138892862252</v>
      </c>
      <c r="E22" s="7" t="n">
        <v>0.294475616379446</v>
      </c>
    </row>
    <row r="23" customFormat="false" ht="15" hidden="false" customHeight="false" outlineLevel="0" collapsed="false">
      <c r="A23" s="5" t="s">
        <v>10</v>
      </c>
      <c r="B23" s="6" t="n">
        <f aca="false">RF!E25</f>
        <v>1766</v>
      </c>
      <c r="C23" s="7" t="n">
        <f aca="false">B23/$B$32</f>
        <v>0.0818729717199815</v>
      </c>
      <c r="D23" s="7" t="n">
        <v>0.0498784151051352</v>
      </c>
      <c r="E23" s="7" t="n">
        <v>0.0355814199202567</v>
      </c>
    </row>
    <row r="24" customFormat="false" ht="15" hidden="false" customHeight="false" outlineLevel="0" collapsed="false">
      <c r="A24" s="5" t="s">
        <v>12</v>
      </c>
      <c r="B24" s="6" t="n">
        <f aca="false">RF!F25</f>
        <v>1753</v>
      </c>
      <c r="C24" s="7" t="n">
        <f aca="false">B24/$B$32</f>
        <v>0.0812702828001854</v>
      </c>
      <c r="D24" s="7" t="n">
        <v>0.169858389357746</v>
      </c>
      <c r="E24" s="7" t="n">
        <v>0.184354036564772</v>
      </c>
    </row>
    <row r="25" customFormat="false" ht="15" hidden="false" customHeight="false" outlineLevel="0" collapsed="false">
      <c r="A25" s="5" t="s">
        <v>11</v>
      </c>
      <c r="B25" s="6" t="n">
        <f aca="false">RF!G25</f>
        <v>1610</v>
      </c>
      <c r="C25" s="7" t="n">
        <f aca="false">B25/$B$32</f>
        <v>0.0746407046824293</v>
      </c>
      <c r="D25" s="7" t="n">
        <v>0.108170504934916</v>
      </c>
      <c r="E25" s="7" t="n">
        <v>0.154251956973462</v>
      </c>
    </row>
    <row r="26" customFormat="false" ht="15" hidden="false" customHeight="false" outlineLevel="0" collapsed="false">
      <c r="A26" s="5" t="s">
        <v>14</v>
      </c>
      <c r="B26" s="6" t="n">
        <f aca="false">RF!H25</f>
        <v>809</v>
      </c>
      <c r="C26" s="7" t="n">
        <f aca="false">B26/$B$32</f>
        <v>0.0375057950857673</v>
      </c>
      <c r="D26" s="7" t="n">
        <v>0.0526848805607209</v>
      </c>
      <c r="E26" s="7" t="n">
        <v>0.0477727667888211</v>
      </c>
    </row>
    <row r="27" customFormat="false" ht="15" hidden="false" customHeight="false" outlineLevel="0" collapsed="false">
      <c r="A27" s="5" t="s">
        <v>13</v>
      </c>
      <c r="B27" s="6" t="n">
        <f aca="false">RF!I25</f>
        <v>680</v>
      </c>
      <c r="C27" s="7" t="n">
        <f aca="false">B27/$B$32</f>
        <v>0.0315252665739453</v>
      </c>
      <c r="D27" s="7" t="n">
        <v>0.0447432413102561</v>
      </c>
      <c r="E27" s="7" t="n">
        <v>0.0594339745051262</v>
      </c>
    </row>
    <row r="28" customFormat="false" ht="15" hidden="false" customHeight="false" outlineLevel="0" collapsed="false">
      <c r="A28" s="5" t="s">
        <v>15</v>
      </c>
      <c r="B28" s="6" t="n">
        <f aca="false">RF!J25</f>
        <v>635</v>
      </c>
      <c r="C28" s="7" t="n">
        <f aca="false">B28/$B$32</f>
        <v>0.0294390356977283</v>
      </c>
      <c r="D28" s="7" t="n">
        <v>0.0559633814904878</v>
      </c>
      <c r="E28" s="7" t="n">
        <v>0.0792919491140559</v>
      </c>
    </row>
    <row r="29" customFormat="false" ht="15" hidden="false" customHeight="false" outlineLevel="0" collapsed="false">
      <c r="A29" s="5" t="s">
        <v>21</v>
      </c>
      <c r="B29" s="6" t="n">
        <f aca="false">RF!K25</f>
        <v>558</v>
      </c>
      <c r="C29" s="7" t="n">
        <f aca="false">B29/$B$32</f>
        <v>0.0258692628650904</v>
      </c>
      <c r="D29" s="7" t="n">
        <v>0.0426004863395795</v>
      </c>
      <c r="E29" s="7" t="n">
        <v>0.0210656167687092</v>
      </c>
    </row>
    <row r="30" customFormat="false" ht="15" hidden="false" customHeight="false" outlineLevel="0" collapsed="false">
      <c r="A30" s="5" t="s">
        <v>22</v>
      </c>
      <c r="B30" s="6" t="n">
        <f aca="false">RF!L25</f>
        <v>158</v>
      </c>
      <c r="C30" s="7" t="n">
        <f aca="false">B30/$B$32</f>
        <v>0.00732498840982847</v>
      </c>
      <c r="D30" s="7" t="n">
        <v>0.00329280503504506</v>
      </c>
      <c r="E30" s="7" t="n">
        <v>0.00197690002057533</v>
      </c>
    </row>
    <row r="31" customFormat="false" ht="15" hidden="false" customHeight="false" outlineLevel="0" collapsed="false">
      <c r="A31" s="5" t="s">
        <v>16</v>
      </c>
      <c r="B31" s="6" t="n">
        <f aca="false">RF!M25</f>
        <v>359</v>
      </c>
      <c r="C31" s="7" t="n">
        <f aca="false">B31/$B$32</f>
        <v>0.0166434863235976</v>
      </c>
    </row>
    <row r="32" customFormat="false" ht="15" hidden="false" customHeight="false" outlineLevel="0" collapsed="false">
      <c r="A32" s="8" t="s">
        <v>17</v>
      </c>
      <c r="B32" s="9" t="n">
        <f aca="false">SUM(B21:B31)</f>
        <v>21570</v>
      </c>
    </row>
    <row r="33" customFormat="false" ht="15" hidden="false" customHeight="false" outlineLevel="0" collapsed="false">
      <c r="A33" s="5" t="s">
        <v>18</v>
      </c>
      <c r="B33" s="7" t="n">
        <f aca="false">RF!Q25</f>
        <v>0.816546358978195</v>
      </c>
      <c r="D33" s="7" t="n">
        <v>0.7629</v>
      </c>
      <c r="E33" s="7" t="n">
        <v>0.803492037771408</v>
      </c>
    </row>
    <row r="36" customFormat="false" ht="15" hidden="false" customHeight="false" outlineLevel="0" collapsed="false">
      <c r="A36" s="3" t="s">
        <v>23</v>
      </c>
    </row>
    <row r="37" customFormat="false" ht="15" hidden="false" customHeight="false" outlineLevel="0" collapsed="false">
      <c r="A37" s="4" t="s">
        <v>3</v>
      </c>
      <c r="B37" s="4" t="s">
        <v>4</v>
      </c>
      <c r="C37" s="4" t="s">
        <v>5</v>
      </c>
      <c r="D37" s="4" t="s">
        <v>6</v>
      </c>
    </row>
    <row r="38" customFormat="false" ht="15" hidden="false" customHeight="false" outlineLevel="0" collapsed="false">
      <c r="A38" s="5" t="s">
        <v>8</v>
      </c>
      <c r="B38" s="6" t="n">
        <f aca="false">KF!C25</f>
        <v>7479</v>
      </c>
      <c r="C38" s="7" t="n">
        <f aca="false">B38/$B$50</f>
        <v>0.345929694727105</v>
      </c>
      <c r="D38" s="7" t="n">
        <v>0.158209661510744</v>
      </c>
      <c r="E38" s="5"/>
    </row>
    <row r="39" customFormat="false" ht="15" hidden="false" customHeight="false" outlineLevel="0" collapsed="false">
      <c r="A39" s="5" t="s">
        <v>9</v>
      </c>
      <c r="B39" s="6" t="n">
        <f aca="false">KF!D25</f>
        <v>4997</v>
      </c>
      <c r="C39" s="7" t="n">
        <f aca="false">B39/$B$50</f>
        <v>0.231128584643848</v>
      </c>
      <c r="D39" s="7" t="n">
        <v>0.26440589063667</v>
      </c>
      <c r="E39" s="5"/>
    </row>
    <row r="40" customFormat="false" ht="15" hidden="false" customHeight="false" outlineLevel="0" collapsed="false">
      <c r="A40" s="5" t="s">
        <v>10</v>
      </c>
      <c r="B40" s="6" t="n">
        <f aca="false">KF!E25</f>
        <v>2067</v>
      </c>
      <c r="C40" s="7" t="n">
        <f aca="false">B40/$B$50</f>
        <v>0.0956059204440333</v>
      </c>
      <c r="D40" s="7" t="n">
        <v>0.0598613431244548</v>
      </c>
      <c r="E40" s="5"/>
    </row>
    <row r="41" customFormat="false" ht="15" hidden="false" customHeight="false" outlineLevel="0" collapsed="false">
      <c r="A41" s="5" t="s">
        <v>12</v>
      </c>
      <c r="B41" s="6" t="n">
        <f aca="false">KF!F25</f>
        <v>1783</v>
      </c>
      <c r="C41" s="7" t="n">
        <f aca="false">B41/$B$50</f>
        <v>0.0824699352451434</v>
      </c>
      <c r="D41" s="7" t="n">
        <v>0.171191639537734</v>
      </c>
      <c r="E41" s="5"/>
    </row>
    <row r="42" customFormat="false" ht="15" hidden="false" customHeight="false" outlineLevel="0" collapsed="false">
      <c r="A42" s="5" t="s">
        <v>11</v>
      </c>
      <c r="B42" s="6" t="n">
        <f aca="false">KF!G25</f>
        <v>1578</v>
      </c>
      <c r="C42" s="7" t="n">
        <f aca="false">B42/$B$50</f>
        <v>0.0729879740980574</v>
      </c>
      <c r="D42" s="7" t="n">
        <v>0.107459078547524</v>
      </c>
      <c r="E42" s="5"/>
    </row>
    <row r="43" customFormat="false" ht="15" hidden="false" customHeight="false" outlineLevel="0" collapsed="false">
      <c r="A43" s="5" t="s">
        <v>14</v>
      </c>
      <c r="B43" s="6" t="n">
        <f aca="false">KF!H25</f>
        <v>848</v>
      </c>
      <c r="C43" s="7" t="n">
        <f aca="false">B43/$B$50</f>
        <v>0.0392229417206291</v>
      </c>
      <c r="D43" s="7" t="n">
        <v>0.0554456461627052</v>
      </c>
      <c r="E43" s="5"/>
    </row>
    <row r="44" customFormat="false" ht="15" hidden="false" customHeight="false" outlineLevel="0" collapsed="false">
      <c r="A44" s="5" t="s">
        <v>21</v>
      </c>
      <c r="B44" s="6" t="n">
        <f aca="false">KF!I25</f>
        <v>844</v>
      </c>
      <c r="C44" s="7" t="n">
        <f aca="false">B44/$B$50</f>
        <v>0.0390379278445883</v>
      </c>
      <c r="D44" s="7" t="n">
        <v>0.0613893054043114</v>
      </c>
      <c r="E44" s="5"/>
    </row>
    <row r="45" customFormat="false" ht="15" hidden="false" customHeight="false" outlineLevel="0" collapsed="false">
      <c r="A45" s="5" t="s">
        <v>13</v>
      </c>
      <c r="B45" s="6" t="n">
        <f aca="false">KF!J25</f>
        <v>627</v>
      </c>
      <c r="C45" s="7" t="n">
        <f aca="false">B45/$B$50</f>
        <v>0.0290009250693802</v>
      </c>
      <c r="D45" s="7" t="n">
        <v>0.0400348922729579</v>
      </c>
      <c r="E45" s="5"/>
    </row>
    <row r="46" customFormat="false" ht="15" hidden="false" customHeight="false" outlineLevel="0" collapsed="false">
      <c r="A46" s="5" t="s">
        <v>15</v>
      </c>
      <c r="B46" s="6" t="n">
        <f aca="false">KF!K25</f>
        <v>478</v>
      </c>
      <c r="C46" s="7" t="n">
        <f aca="false">B46/$B$50</f>
        <v>0.022109158186864</v>
      </c>
      <c r="D46" s="7" t="n">
        <v>0.0414972890072236</v>
      </c>
      <c r="E46" s="5"/>
    </row>
    <row r="47" customFormat="false" ht="15" hidden="false" customHeight="false" outlineLevel="0" collapsed="false">
      <c r="A47" s="5" t="s">
        <v>22</v>
      </c>
      <c r="B47" s="6" t="n">
        <f aca="false">KF!L25</f>
        <v>373</v>
      </c>
      <c r="C47" s="7" t="n">
        <f aca="false">B47/$B$50</f>
        <v>0.0172525439407956</v>
      </c>
      <c r="D47" s="7" t="n">
        <v>0.00770822762076888</v>
      </c>
      <c r="E47" s="5"/>
    </row>
    <row r="48" customFormat="false" ht="15" hidden="false" customHeight="false" outlineLevel="0" collapsed="false">
      <c r="A48" s="5" t="s">
        <v>24</v>
      </c>
      <c r="B48" s="6" t="n">
        <f aca="false">KF!M25</f>
        <v>220</v>
      </c>
      <c r="C48" s="7" t="n">
        <f aca="false">B48/$B$50</f>
        <v>0.0101757631822387</v>
      </c>
      <c r="D48" s="7" t="n">
        <v>0.0038313084032224</v>
      </c>
      <c r="E48" s="5"/>
    </row>
    <row r="49" customFormat="false" ht="15" hidden="false" customHeight="false" outlineLevel="0" collapsed="false">
      <c r="A49" s="5" t="s">
        <v>16</v>
      </c>
      <c r="B49" s="6" t="n">
        <f aca="false">KF!N25</f>
        <v>326</v>
      </c>
      <c r="C49" s="7" t="n">
        <f aca="false">B49/$B$50</f>
        <v>0.0150786308973173</v>
      </c>
    </row>
    <row r="50" customFormat="false" ht="15" hidden="false" customHeight="false" outlineLevel="0" collapsed="false">
      <c r="A50" s="8" t="s">
        <v>17</v>
      </c>
      <c r="B50" s="9" t="n">
        <f aca="false">SUM(B38:B49)</f>
        <v>21620</v>
      </c>
    </row>
    <row r="51" customFormat="false" ht="15" hidden="false" customHeight="false" outlineLevel="0" collapsed="false">
      <c r="A51" s="5" t="s">
        <v>18</v>
      </c>
      <c r="B51" s="7" t="n">
        <f aca="false">KF!R25</f>
        <v>0.817780603657852</v>
      </c>
      <c r="D51" s="7" t="n">
        <v>0.7649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15" min="3" style="0" width="11"/>
  </cols>
  <sheetData>
    <row r="1" customFormat="false" ht="26.85" hidden="false" customHeight="false" outlineLevel="0" collapsed="false">
      <c r="A1" s="10" t="s">
        <v>25</v>
      </c>
      <c r="B1" s="10" t="s">
        <v>26</v>
      </c>
      <c r="C1" s="10" t="s">
        <v>8</v>
      </c>
      <c r="D1" s="10" t="s">
        <v>9</v>
      </c>
      <c r="E1" s="10" t="s">
        <v>10</v>
      </c>
      <c r="F1" s="10" t="s">
        <v>11</v>
      </c>
      <c r="G1" s="10" t="s">
        <v>12</v>
      </c>
      <c r="H1" s="10" t="s">
        <v>13</v>
      </c>
      <c r="I1" s="10" t="s">
        <v>14</v>
      </c>
      <c r="J1" s="10" t="s">
        <v>15</v>
      </c>
      <c r="K1" s="10" t="s">
        <v>16</v>
      </c>
      <c r="L1" s="10" t="s">
        <v>17</v>
      </c>
      <c r="M1" s="10" t="s">
        <v>27</v>
      </c>
      <c r="N1" s="10" t="s">
        <v>28</v>
      </c>
      <c r="O1" s="10" t="s">
        <v>18</v>
      </c>
    </row>
    <row r="2" customFormat="false" ht="15" hidden="false" customHeight="false" outlineLevel="0" collapsed="false">
      <c r="A2" s="5" t="s">
        <v>29</v>
      </c>
      <c r="B2" s="5" t="s">
        <v>30</v>
      </c>
      <c r="C2" s="6" t="n">
        <v>179</v>
      </c>
      <c r="D2" s="6" t="n">
        <v>217</v>
      </c>
      <c r="E2" s="6" t="n">
        <v>114</v>
      </c>
      <c r="F2" s="6" t="n">
        <v>102</v>
      </c>
      <c r="G2" s="6" t="n">
        <v>60</v>
      </c>
      <c r="H2" s="6" t="n">
        <v>43</v>
      </c>
      <c r="I2" s="6" t="n">
        <v>42</v>
      </c>
      <c r="J2" s="6" t="n">
        <v>25</v>
      </c>
      <c r="K2" s="6" t="n">
        <v>15</v>
      </c>
      <c r="L2" s="6" t="n">
        <f aca="false">SUM(C2:K2)</f>
        <v>797</v>
      </c>
      <c r="M2" s="6" t="n">
        <v>805</v>
      </c>
      <c r="N2" s="6" t="n">
        <v>1073</v>
      </c>
      <c r="O2" s="7" t="n">
        <f aca="false">M2/N2</f>
        <v>0.750232991612302</v>
      </c>
    </row>
    <row r="3" customFormat="false" ht="15" hidden="false" customHeight="false" outlineLevel="0" collapsed="false">
      <c r="A3" s="5" t="s">
        <v>31</v>
      </c>
      <c r="B3" s="5" t="s">
        <v>32</v>
      </c>
      <c r="C3" s="6" t="n">
        <v>156</v>
      </c>
      <c r="D3" s="6" t="n">
        <v>228</v>
      </c>
      <c r="E3" s="6" t="n">
        <v>215</v>
      </c>
      <c r="F3" s="6" t="n">
        <v>60</v>
      </c>
      <c r="G3" s="6" t="n">
        <v>131</v>
      </c>
      <c r="H3" s="6" t="n">
        <v>76</v>
      </c>
      <c r="I3" s="6" t="n">
        <v>71</v>
      </c>
      <c r="J3" s="6" t="n">
        <v>35</v>
      </c>
      <c r="K3" s="6" t="n">
        <v>9</v>
      </c>
      <c r="L3" s="6" t="n">
        <f aca="false">SUM(C3:K3)</f>
        <v>981</v>
      </c>
      <c r="M3" s="6" t="n">
        <v>986</v>
      </c>
      <c r="N3" s="6" t="n">
        <v>1115</v>
      </c>
      <c r="O3" s="7" t="n">
        <f aca="false">M3/N3</f>
        <v>0.884304932735426</v>
      </c>
    </row>
    <row r="4" customFormat="false" ht="15" hidden="false" customHeight="false" outlineLevel="0" collapsed="false">
      <c r="A4" s="5" t="s">
        <v>33</v>
      </c>
      <c r="B4" s="5" t="s">
        <v>34</v>
      </c>
      <c r="C4" s="6" t="n">
        <v>266</v>
      </c>
      <c r="D4" s="6" t="n">
        <v>221</v>
      </c>
      <c r="E4" s="6" t="n">
        <v>138</v>
      </c>
      <c r="F4" s="6" t="n">
        <v>104</v>
      </c>
      <c r="G4" s="6" t="n">
        <v>63</v>
      </c>
      <c r="H4" s="6" t="n">
        <v>35</v>
      </c>
      <c r="I4" s="6" t="n">
        <v>40</v>
      </c>
      <c r="J4" s="6" t="n">
        <v>21</v>
      </c>
      <c r="K4" s="6" t="n">
        <v>17</v>
      </c>
      <c r="L4" s="6" t="n">
        <f aca="false">SUM(C4:K4)</f>
        <v>905</v>
      </c>
      <c r="M4" s="6" t="n">
        <v>915</v>
      </c>
      <c r="N4" s="6" t="n">
        <v>1112</v>
      </c>
      <c r="O4" s="7" t="n">
        <f aca="false">M4/N4</f>
        <v>0.822841726618705</v>
      </c>
    </row>
    <row r="5" customFormat="false" ht="15" hidden="false" customHeight="false" outlineLevel="0" collapsed="false">
      <c r="A5" s="5" t="s">
        <v>35</v>
      </c>
      <c r="B5" s="5" t="s">
        <v>36</v>
      </c>
      <c r="C5" s="6" t="n">
        <v>254</v>
      </c>
      <c r="D5" s="6" t="n">
        <v>219</v>
      </c>
      <c r="E5" s="6" t="n">
        <v>184</v>
      </c>
      <c r="F5" s="6" t="n">
        <v>91</v>
      </c>
      <c r="G5" s="6" t="n">
        <v>58</v>
      </c>
      <c r="H5" s="6" t="n">
        <v>34</v>
      </c>
      <c r="I5" s="6" t="n">
        <v>26</v>
      </c>
      <c r="J5" s="6" t="n">
        <v>12</v>
      </c>
      <c r="K5" s="6" t="n">
        <v>7</v>
      </c>
      <c r="L5" s="6" t="n">
        <f aca="false">SUM(C5:K5)</f>
        <v>885</v>
      </c>
      <c r="M5" s="6" t="n">
        <v>896</v>
      </c>
      <c r="N5" s="6" t="n">
        <v>1087</v>
      </c>
      <c r="O5" s="7" t="n">
        <f aca="false">M5/N5</f>
        <v>0.824287028518859</v>
      </c>
    </row>
    <row r="6" customFormat="false" ht="15" hidden="false" customHeight="false" outlineLevel="0" collapsed="false">
      <c r="A6" s="5" t="s">
        <v>37</v>
      </c>
      <c r="B6" s="5" t="s">
        <v>38</v>
      </c>
      <c r="C6" s="6" t="n">
        <v>287</v>
      </c>
      <c r="D6" s="6" t="n">
        <v>199</v>
      </c>
      <c r="E6" s="6" t="n">
        <v>151</v>
      </c>
      <c r="F6" s="6" t="n">
        <v>72</v>
      </c>
      <c r="G6" s="6" t="n">
        <v>57</v>
      </c>
      <c r="H6" s="6" t="n">
        <v>16</v>
      </c>
      <c r="I6" s="6" t="n">
        <v>30</v>
      </c>
      <c r="J6" s="6" t="n">
        <v>12</v>
      </c>
      <c r="K6" s="6" t="n">
        <v>9</v>
      </c>
      <c r="L6" s="6" t="n">
        <f aca="false">SUM(C6:K6)</f>
        <v>833</v>
      </c>
      <c r="M6" s="6" t="n">
        <v>842</v>
      </c>
      <c r="N6" s="6" t="n">
        <v>1014</v>
      </c>
      <c r="O6" s="7" t="n">
        <f aca="false">M6/N6</f>
        <v>0.830374753451677</v>
      </c>
    </row>
    <row r="7" customFormat="false" ht="15" hidden="false" customHeight="false" outlineLevel="0" collapsed="false">
      <c r="A7" s="5" t="s">
        <v>39</v>
      </c>
      <c r="B7" s="5" t="s">
        <v>40</v>
      </c>
      <c r="C7" s="6" t="n">
        <v>248</v>
      </c>
      <c r="D7" s="6" t="n">
        <v>224</v>
      </c>
      <c r="E7" s="6" t="n">
        <v>167</v>
      </c>
      <c r="F7" s="6" t="n">
        <v>68</v>
      </c>
      <c r="G7" s="6" t="n">
        <v>73</v>
      </c>
      <c r="H7" s="6" t="n">
        <v>44</v>
      </c>
      <c r="I7" s="6" t="n">
        <v>32</v>
      </c>
      <c r="J7" s="6" t="n">
        <v>13</v>
      </c>
      <c r="K7" s="6" t="n">
        <v>15</v>
      </c>
      <c r="L7" s="6" t="n">
        <f aca="false">SUM(C7:K7)</f>
        <v>884</v>
      </c>
      <c r="M7" s="6" t="n">
        <v>893</v>
      </c>
      <c r="N7" s="6" t="n">
        <v>1048</v>
      </c>
      <c r="O7" s="7" t="n">
        <f aca="false">M7/N7</f>
        <v>0.852099236641221</v>
      </c>
    </row>
    <row r="8" customFormat="false" ht="15" hidden="false" customHeight="false" outlineLevel="0" collapsed="false">
      <c r="A8" s="5" t="s">
        <v>41</v>
      </c>
      <c r="B8" s="5" t="s">
        <v>42</v>
      </c>
      <c r="C8" s="6" t="n">
        <v>298</v>
      </c>
      <c r="D8" s="6" t="n">
        <v>259</v>
      </c>
      <c r="E8" s="6" t="n">
        <v>159</v>
      </c>
      <c r="F8" s="6" t="n">
        <v>98</v>
      </c>
      <c r="G8" s="6" t="n">
        <v>66</v>
      </c>
      <c r="H8" s="6" t="n">
        <v>33</v>
      </c>
      <c r="I8" s="6" t="n">
        <v>39</v>
      </c>
      <c r="J8" s="6" t="n">
        <v>26</v>
      </c>
      <c r="K8" s="6" t="n">
        <v>21</v>
      </c>
      <c r="L8" s="6" t="n">
        <f aca="false">SUM(C8:K8)</f>
        <v>999</v>
      </c>
      <c r="M8" s="6" t="n">
        <v>1010</v>
      </c>
      <c r="N8" s="6" t="n">
        <v>1211</v>
      </c>
      <c r="O8" s="7" t="n">
        <f aca="false">M8/N8</f>
        <v>0.83402146985962</v>
      </c>
    </row>
    <row r="9" customFormat="false" ht="15" hidden="false" customHeight="false" outlineLevel="0" collapsed="false">
      <c r="A9" s="5" t="s">
        <v>43</v>
      </c>
      <c r="B9" s="5" t="s">
        <v>44</v>
      </c>
      <c r="C9" s="6" t="n">
        <v>318</v>
      </c>
      <c r="D9" s="6" t="n">
        <v>315</v>
      </c>
      <c r="E9" s="6" t="n">
        <v>135</v>
      </c>
      <c r="F9" s="6" t="n">
        <v>112</v>
      </c>
      <c r="G9" s="6" t="n">
        <v>135</v>
      </c>
      <c r="H9" s="6" t="n">
        <v>55</v>
      </c>
      <c r="I9" s="6" t="n">
        <v>45</v>
      </c>
      <c r="J9" s="6" t="n">
        <v>29</v>
      </c>
      <c r="K9" s="6" t="n">
        <v>18</v>
      </c>
      <c r="L9" s="6" t="n">
        <f aca="false">SUM(C9:K9)</f>
        <v>1162</v>
      </c>
      <c r="M9" s="6" t="n">
        <v>1174</v>
      </c>
      <c r="N9" s="6" t="n">
        <v>1400</v>
      </c>
      <c r="O9" s="7" t="n">
        <f aca="false">M9/N9</f>
        <v>0.838571428571429</v>
      </c>
    </row>
    <row r="10" customFormat="false" ht="15" hidden="false" customHeight="false" outlineLevel="0" collapsed="false">
      <c r="A10" s="5" t="s">
        <v>45</v>
      </c>
      <c r="B10" s="5" t="s">
        <v>46</v>
      </c>
      <c r="C10" s="6" t="n">
        <v>205</v>
      </c>
      <c r="D10" s="6" t="n">
        <v>207</v>
      </c>
      <c r="E10" s="6" t="n">
        <v>111</v>
      </c>
      <c r="F10" s="6" t="n">
        <v>108</v>
      </c>
      <c r="G10" s="6" t="n">
        <v>84</v>
      </c>
      <c r="H10" s="6" t="n">
        <v>43</v>
      </c>
      <c r="I10" s="6" t="n">
        <v>48</v>
      </c>
      <c r="J10" s="6" t="n">
        <v>32</v>
      </c>
      <c r="K10" s="6" t="n">
        <v>11</v>
      </c>
      <c r="L10" s="6" t="n">
        <f aca="false">SUM(C10:K10)</f>
        <v>849</v>
      </c>
      <c r="M10" s="6" t="n">
        <v>855</v>
      </c>
      <c r="N10" s="6" t="n">
        <v>1035</v>
      </c>
      <c r="O10" s="7" t="n">
        <f aca="false">M10/N10</f>
        <v>0.826086956521739</v>
      </c>
    </row>
    <row r="11" customFormat="false" ht="15" hidden="false" customHeight="false" outlineLevel="0" collapsed="false">
      <c r="A11" s="5" t="s">
        <v>47</v>
      </c>
      <c r="B11" s="5" t="s">
        <v>48</v>
      </c>
      <c r="C11" s="6" t="n">
        <v>248</v>
      </c>
      <c r="D11" s="6" t="n">
        <v>205</v>
      </c>
      <c r="E11" s="6" t="n">
        <v>106</v>
      </c>
      <c r="F11" s="6" t="n">
        <v>92</v>
      </c>
      <c r="G11" s="6" t="n">
        <v>64</v>
      </c>
      <c r="H11" s="6" t="n">
        <v>32</v>
      </c>
      <c r="I11" s="6" t="n">
        <v>22</v>
      </c>
      <c r="J11" s="6" t="n">
        <v>8</v>
      </c>
      <c r="K11" s="6" t="n">
        <v>10</v>
      </c>
      <c r="L11" s="6" t="n">
        <f aca="false">SUM(C11:K11)</f>
        <v>787</v>
      </c>
      <c r="M11" s="6" t="n">
        <v>798</v>
      </c>
      <c r="N11" s="6" t="n">
        <v>973</v>
      </c>
      <c r="O11" s="7" t="n">
        <f aca="false">M11/N11</f>
        <v>0.820143884892086</v>
      </c>
    </row>
    <row r="12" customFormat="false" ht="15" hidden="false" customHeight="false" outlineLevel="0" collapsed="false">
      <c r="A12" s="5" t="s">
        <v>49</v>
      </c>
      <c r="B12" s="5" t="s">
        <v>50</v>
      </c>
      <c r="C12" s="6" t="n">
        <v>259</v>
      </c>
      <c r="D12" s="6" t="n">
        <v>251</v>
      </c>
      <c r="E12" s="6" t="n">
        <v>81</v>
      </c>
      <c r="F12" s="6" t="n">
        <v>122</v>
      </c>
      <c r="G12" s="6" t="n">
        <v>88</v>
      </c>
      <c r="H12" s="6" t="n">
        <v>35</v>
      </c>
      <c r="I12" s="6" t="n">
        <v>37</v>
      </c>
      <c r="J12" s="6" t="n">
        <v>10</v>
      </c>
      <c r="K12" s="6" t="n">
        <v>18</v>
      </c>
      <c r="L12" s="6" t="n">
        <f aca="false">SUM(C12:K12)</f>
        <v>901</v>
      </c>
      <c r="M12" s="6" t="n">
        <v>913</v>
      </c>
      <c r="N12" s="6" t="n">
        <v>1160</v>
      </c>
      <c r="O12" s="7" t="n">
        <f aca="false">M12/N12</f>
        <v>0.787068965517241</v>
      </c>
    </row>
    <row r="13" customFormat="false" ht="15" hidden="false" customHeight="false" outlineLevel="0" collapsed="false">
      <c r="A13" s="5" t="s">
        <v>51</v>
      </c>
      <c r="B13" s="5" t="s">
        <v>52</v>
      </c>
      <c r="C13" s="6" t="n">
        <v>177</v>
      </c>
      <c r="D13" s="6" t="n">
        <v>217</v>
      </c>
      <c r="E13" s="6" t="n">
        <v>96</v>
      </c>
      <c r="F13" s="6" t="n">
        <v>99</v>
      </c>
      <c r="G13" s="6" t="n">
        <v>103</v>
      </c>
      <c r="H13" s="6" t="n">
        <v>30</v>
      </c>
      <c r="I13" s="6" t="n">
        <v>45</v>
      </c>
      <c r="J13" s="6" t="n">
        <v>30</v>
      </c>
      <c r="K13" s="6" t="n">
        <v>14</v>
      </c>
      <c r="L13" s="6" t="n">
        <f aca="false">SUM(C13:K13)</f>
        <v>811</v>
      </c>
      <c r="M13" s="6" t="n">
        <v>816</v>
      </c>
      <c r="N13" s="6" t="n">
        <v>1009</v>
      </c>
      <c r="O13" s="7" t="n">
        <f aca="false">M13/N13</f>
        <v>0.808721506442022</v>
      </c>
    </row>
    <row r="14" customFormat="false" ht="15" hidden="false" customHeight="false" outlineLevel="0" collapsed="false">
      <c r="A14" s="5" t="s">
        <v>53</v>
      </c>
      <c r="B14" s="5" t="s">
        <v>54</v>
      </c>
      <c r="C14" s="6" t="n">
        <v>271</v>
      </c>
      <c r="D14" s="6" t="n">
        <v>278</v>
      </c>
      <c r="E14" s="6" t="n">
        <v>159</v>
      </c>
      <c r="F14" s="6" t="n">
        <v>105</v>
      </c>
      <c r="G14" s="6" t="n">
        <v>111</v>
      </c>
      <c r="H14" s="6" t="n">
        <v>45</v>
      </c>
      <c r="I14" s="6" t="n">
        <v>49</v>
      </c>
      <c r="J14" s="6" t="n">
        <v>26</v>
      </c>
      <c r="K14" s="6" t="n">
        <v>12</v>
      </c>
      <c r="L14" s="6" t="n">
        <f aca="false">SUM(C14:K14)</f>
        <v>1056</v>
      </c>
      <c r="M14" s="6" t="n">
        <v>1068</v>
      </c>
      <c r="N14" s="6" t="n">
        <v>1279</v>
      </c>
      <c r="O14" s="7" t="n">
        <f aca="false">M14/N14</f>
        <v>0.835027365129007</v>
      </c>
    </row>
    <row r="15" customFormat="false" ht="15" hidden="false" customHeight="false" outlineLevel="0" collapsed="false">
      <c r="A15" s="5" t="s">
        <v>55</v>
      </c>
      <c r="B15" s="5" t="s">
        <v>56</v>
      </c>
      <c r="C15" s="6" t="n">
        <v>204</v>
      </c>
      <c r="D15" s="6" t="n">
        <v>241</v>
      </c>
      <c r="E15" s="6" t="n">
        <v>150</v>
      </c>
      <c r="F15" s="6" t="n">
        <v>94</v>
      </c>
      <c r="G15" s="6" t="n">
        <v>104</v>
      </c>
      <c r="H15" s="6" t="n">
        <v>42</v>
      </c>
      <c r="I15" s="6" t="n">
        <v>59</v>
      </c>
      <c r="J15" s="6" t="n">
        <v>27</v>
      </c>
      <c r="K15" s="6" t="n">
        <v>10</v>
      </c>
      <c r="L15" s="6" t="n">
        <f aca="false">SUM(C15:K15)</f>
        <v>931</v>
      </c>
      <c r="M15" s="6" t="n">
        <v>945</v>
      </c>
      <c r="N15" s="6" t="n">
        <v>1105</v>
      </c>
      <c r="O15" s="7" t="n">
        <f aca="false">M15/N15</f>
        <v>0.855203619909502</v>
      </c>
    </row>
    <row r="16" customFormat="false" ht="15" hidden="false" customHeight="false" outlineLevel="0" collapsed="false">
      <c r="A16" s="5" t="s">
        <v>57</v>
      </c>
      <c r="B16" s="5" t="s">
        <v>58</v>
      </c>
      <c r="C16" s="6" t="n">
        <v>245</v>
      </c>
      <c r="D16" s="6" t="n">
        <v>272</v>
      </c>
      <c r="E16" s="6" t="n">
        <v>153</v>
      </c>
      <c r="F16" s="6" t="n">
        <v>82</v>
      </c>
      <c r="G16" s="6" t="n">
        <v>110</v>
      </c>
      <c r="H16" s="6" t="n">
        <v>57</v>
      </c>
      <c r="I16" s="6" t="n">
        <v>63</v>
      </c>
      <c r="J16" s="6" t="n">
        <v>22</v>
      </c>
      <c r="K16" s="6" t="n">
        <v>19</v>
      </c>
      <c r="L16" s="6" t="n">
        <f aca="false">SUM(C16:K16)</f>
        <v>1023</v>
      </c>
      <c r="M16" s="6" t="n">
        <v>1035</v>
      </c>
      <c r="N16" s="6" t="n">
        <v>1204</v>
      </c>
      <c r="O16" s="7" t="n">
        <f aca="false">M16/N16</f>
        <v>0.859634551495017</v>
      </c>
    </row>
    <row r="17" customFormat="false" ht="15" hidden="false" customHeight="false" outlineLevel="0" collapsed="false">
      <c r="A17" s="5" t="s">
        <v>59</v>
      </c>
      <c r="B17" s="5" t="s">
        <v>60</v>
      </c>
      <c r="C17" s="6" t="n">
        <v>212</v>
      </c>
      <c r="D17" s="6" t="n">
        <v>215</v>
      </c>
      <c r="E17" s="6" t="n">
        <v>149</v>
      </c>
      <c r="F17" s="6" t="n">
        <v>92</v>
      </c>
      <c r="G17" s="6" t="n">
        <v>83</v>
      </c>
      <c r="H17" s="6" t="n">
        <v>31</v>
      </c>
      <c r="I17" s="6" t="n">
        <v>41</v>
      </c>
      <c r="J17" s="6" t="n">
        <v>24</v>
      </c>
      <c r="K17" s="6" t="n">
        <v>9</v>
      </c>
      <c r="L17" s="6" t="n">
        <f aca="false">SUM(C17:K17)</f>
        <v>856</v>
      </c>
      <c r="M17" s="6" t="n">
        <v>864</v>
      </c>
      <c r="N17" s="6" t="n">
        <v>1024</v>
      </c>
      <c r="O17" s="7" t="n">
        <f aca="false">M17/N17</f>
        <v>0.84375</v>
      </c>
    </row>
    <row r="18" customFormat="false" ht="15" hidden="false" customHeight="false" outlineLevel="0" collapsed="false">
      <c r="A18" s="5" t="s">
        <v>61</v>
      </c>
      <c r="B18" s="5" t="s">
        <v>62</v>
      </c>
      <c r="C18" s="6" t="n">
        <v>287</v>
      </c>
      <c r="D18" s="6" t="n">
        <v>247</v>
      </c>
      <c r="E18" s="6" t="n">
        <v>176</v>
      </c>
      <c r="F18" s="6" t="n">
        <v>97</v>
      </c>
      <c r="G18" s="6" t="n">
        <v>71</v>
      </c>
      <c r="H18" s="6" t="n">
        <v>30</v>
      </c>
      <c r="I18" s="6" t="n">
        <v>25</v>
      </c>
      <c r="J18" s="6" t="n">
        <v>23</v>
      </c>
      <c r="K18" s="6" t="n">
        <v>15</v>
      </c>
      <c r="L18" s="6" t="n">
        <f aca="false">SUM(C18:K18)</f>
        <v>971</v>
      </c>
      <c r="M18" s="6" t="n">
        <v>982</v>
      </c>
      <c r="N18" s="6" t="n">
        <v>1137</v>
      </c>
      <c r="O18" s="7" t="n">
        <f aca="false">M18/N18</f>
        <v>0.863676341248901</v>
      </c>
    </row>
    <row r="19" customFormat="false" ht="15" hidden="false" customHeight="false" outlineLevel="0" collapsed="false">
      <c r="A19" s="5" t="s">
        <v>63</v>
      </c>
      <c r="B19" s="5" t="s">
        <v>64</v>
      </c>
      <c r="C19" s="6" t="n">
        <v>332</v>
      </c>
      <c r="D19" s="6" t="n">
        <v>255</v>
      </c>
      <c r="E19" s="6" t="n">
        <v>170</v>
      </c>
      <c r="F19" s="6" t="n">
        <v>82</v>
      </c>
      <c r="G19" s="6" t="n">
        <v>68</v>
      </c>
      <c r="H19" s="6" t="n">
        <v>28</v>
      </c>
      <c r="I19" s="6" t="n">
        <v>23</v>
      </c>
      <c r="J19" s="6" t="n">
        <v>17</v>
      </c>
      <c r="K19" s="6" t="n">
        <v>8</v>
      </c>
      <c r="L19" s="6" t="n">
        <f aca="false">SUM(C19:K19)</f>
        <v>983</v>
      </c>
      <c r="M19" s="6" t="n">
        <v>999</v>
      </c>
      <c r="N19" s="6" t="n">
        <v>1209</v>
      </c>
      <c r="O19" s="7" t="n">
        <f aca="false">M19/N19</f>
        <v>0.826302729528536</v>
      </c>
    </row>
    <row r="20" customFormat="false" ht="15" hidden="false" customHeight="false" outlineLevel="0" collapsed="false">
      <c r="A20" s="5" t="s">
        <v>65</v>
      </c>
      <c r="B20" s="5" t="s">
        <v>66</v>
      </c>
      <c r="C20" s="6" t="n">
        <v>247</v>
      </c>
      <c r="D20" s="6" t="n">
        <v>242</v>
      </c>
      <c r="E20" s="6" t="n">
        <v>183</v>
      </c>
      <c r="F20" s="6" t="n">
        <v>76</v>
      </c>
      <c r="G20" s="6" t="n">
        <v>79</v>
      </c>
      <c r="H20" s="6" t="n">
        <v>41</v>
      </c>
      <c r="I20" s="6" t="n">
        <v>31</v>
      </c>
      <c r="J20" s="6" t="n">
        <v>13</v>
      </c>
      <c r="K20" s="6" t="n">
        <v>14</v>
      </c>
      <c r="L20" s="6" t="n">
        <f aca="false">SUM(C20:K20)</f>
        <v>926</v>
      </c>
      <c r="M20" s="6" t="n">
        <v>936</v>
      </c>
      <c r="N20" s="6" t="n">
        <v>1074</v>
      </c>
      <c r="O20" s="7" t="n">
        <f aca="false">M20/N20</f>
        <v>0.871508379888268</v>
      </c>
    </row>
    <row r="21" customFormat="false" ht="15" hidden="false" customHeight="false" outlineLevel="0" collapsed="false">
      <c r="A21" s="5" t="s">
        <v>67</v>
      </c>
      <c r="B21" s="5" t="s">
        <v>68</v>
      </c>
      <c r="C21" s="6" t="n">
        <v>284</v>
      </c>
      <c r="D21" s="6" t="n">
        <v>228</v>
      </c>
      <c r="E21" s="6" t="n">
        <v>140</v>
      </c>
      <c r="F21" s="6" t="n">
        <v>99</v>
      </c>
      <c r="G21" s="6" t="n">
        <v>73</v>
      </c>
      <c r="H21" s="6" t="n">
        <v>33</v>
      </c>
      <c r="I21" s="6" t="n">
        <v>29</v>
      </c>
      <c r="J21" s="6" t="n">
        <v>17</v>
      </c>
      <c r="K21" s="6" t="n">
        <v>15</v>
      </c>
      <c r="L21" s="6" t="n">
        <f aca="false">SUM(C21:K21)</f>
        <v>918</v>
      </c>
      <c r="M21" s="6" t="n">
        <v>932</v>
      </c>
      <c r="N21" s="6" t="n">
        <v>1182</v>
      </c>
      <c r="O21" s="7" t="n">
        <f aca="false">M21/N21</f>
        <v>0.788494077834179</v>
      </c>
    </row>
    <row r="22" customFormat="false" ht="15" hidden="false" customHeight="false" outlineLevel="0" collapsed="false">
      <c r="A22" s="5" t="s">
        <v>69</v>
      </c>
      <c r="B22" s="5" t="s">
        <v>70</v>
      </c>
      <c r="C22" s="6" t="n">
        <v>295</v>
      </c>
      <c r="D22" s="6" t="n">
        <v>268</v>
      </c>
      <c r="E22" s="6" t="n">
        <v>177</v>
      </c>
      <c r="F22" s="6" t="n">
        <v>70</v>
      </c>
      <c r="G22" s="6" t="n">
        <v>66</v>
      </c>
      <c r="H22" s="6" t="n">
        <v>44</v>
      </c>
      <c r="I22" s="6" t="n">
        <v>24</v>
      </c>
      <c r="J22" s="6" t="n">
        <v>18</v>
      </c>
      <c r="K22" s="6" t="n">
        <v>19</v>
      </c>
      <c r="L22" s="6" t="n">
        <f aca="false">SUM(C22:K22)</f>
        <v>981</v>
      </c>
      <c r="M22" s="6" t="n">
        <v>996</v>
      </c>
      <c r="N22" s="6" t="n">
        <v>1249</v>
      </c>
      <c r="O22" s="7" t="n">
        <f aca="false">M22/N22</f>
        <v>0.797437950360288</v>
      </c>
    </row>
    <row r="23" customFormat="false" ht="15" hidden="false" customHeight="false" outlineLevel="0" collapsed="false">
      <c r="A23" s="5" t="s">
        <v>71</v>
      </c>
      <c r="B23" s="5" t="s">
        <v>72</v>
      </c>
      <c r="C23" s="6" t="n">
        <v>230</v>
      </c>
      <c r="D23" s="6" t="n">
        <v>258</v>
      </c>
      <c r="E23" s="6" t="n">
        <v>89</v>
      </c>
      <c r="F23" s="6" t="n">
        <v>125</v>
      </c>
      <c r="G23" s="6" t="n">
        <v>83</v>
      </c>
      <c r="H23" s="6" t="n">
        <v>44</v>
      </c>
      <c r="I23" s="6" t="n">
        <v>38</v>
      </c>
      <c r="J23" s="6" t="n">
        <v>27</v>
      </c>
      <c r="K23" s="6" t="n">
        <v>19</v>
      </c>
      <c r="L23" s="6" t="n">
        <f aca="false">SUM(C23:K23)</f>
        <v>913</v>
      </c>
      <c r="M23" s="6" t="n">
        <v>922</v>
      </c>
      <c r="N23" s="6" t="n">
        <v>1150</v>
      </c>
      <c r="O23" s="7" t="n">
        <f aca="false">M23/N23</f>
        <v>0.801739130434783</v>
      </c>
    </row>
    <row r="24" customFormat="false" ht="15" hidden="false" customHeight="false" outlineLevel="0" collapsed="false">
      <c r="A24" s="5" t="s">
        <v>73</v>
      </c>
      <c r="B24" s="5" t="s">
        <v>74</v>
      </c>
      <c r="C24" s="6" t="n">
        <v>291</v>
      </c>
      <c r="D24" s="6" t="n">
        <v>249</v>
      </c>
      <c r="E24" s="6" t="n">
        <v>146</v>
      </c>
      <c r="F24" s="6" t="n">
        <v>102</v>
      </c>
      <c r="G24" s="6" t="n">
        <v>64</v>
      </c>
      <c r="H24" s="6" t="n">
        <v>39</v>
      </c>
      <c r="I24" s="6" t="n">
        <v>27</v>
      </c>
      <c r="J24" s="6" t="n">
        <v>24</v>
      </c>
      <c r="K24" s="6" t="n">
        <v>14</v>
      </c>
      <c r="L24" s="6" t="n">
        <f aca="false">SUM(C24:K24)</f>
        <v>956</v>
      </c>
      <c r="M24" s="6" t="n">
        <v>963</v>
      </c>
      <c r="N24" s="6" t="n">
        <v>1182</v>
      </c>
      <c r="O24" s="7" t="n">
        <f aca="false">M24/N24</f>
        <v>0.814720812182741</v>
      </c>
    </row>
    <row r="25" customFormat="false" ht="15" hidden="false" customHeight="false" outlineLevel="0" collapsed="false">
      <c r="A25" s="11"/>
      <c r="B25" s="11" t="s">
        <v>75</v>
      </c>
      <c r="C25" s="12" t="n">
        <f aca="false">SUM(C2:C24)</f>
        <v>5793</v>
      </c>
      <c r="D25" s="12" t="n">
        <f aca="false">SUM(D2:D24)</f>
        <v>5515</v>
      </c>
      <c r="E25" s="12" t="n">
        <f aca="false">SUM(E2:E24)</f>
        <v>3349</v>
      </c>
      <c r="F25" s="12" t="n">
        <f aca="false">SUM(F2:F24)</f>
        <v>2152</v>
      </c>
      <c r="G25" s="12" t="n">
        <f aca="false">SUM(G2:G24)</f>
        <v>1894</v>
      </c>
      <c r="H25" s="12" t="n">
        <f aca="false">SUM(H2:H24)</f>
        <v>910</v>
      </c>
      <c r="I25" s="12" t="n">
        <f aca="false">SUM(I2:I24)</f>
        <v>886</v>
      </c>
      <c r="J25" s="12" t="n">
        <f aca="false">SUM(J2:J24)</f>
        <v>491</v>
      </c>
      <c r="K25" s="12" t="n">
        <f aca="false">SUM(K2:K24)</f>
        <v>318</v>
      </c>
      <c r="L25" s="12" t="n">
        <f aca="false">SUM(L2:L24)</f>
        <v>21308</v>
      </c>
      <c r="M25" s="12" t="n">
        <f aca="false">SUM(M2:M24)</f>
        <v>21545</v>
      </c>
      <c r="N25" s="12" t="n">
        <f aca="false">SUM(N2:N24)</f>
        <v>26032</v>
      </c>
      <c r="O25" s="13" t="n">
        <f aca="false">M25/N25</f>
        <v>0.827635218192993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17" min="3" style="0" width="11"/>
  </cols>
  <sheetData>
    <row r="1" customFormat="false" ht="26.85" hidden="false" customHeight="false" outlineLevel="0" collapsed="false">
      <c r="A1" s="10" t="s">
        <v>25</v>
      </c>
      <c r="B1" s="10" t="s">
        <v>26</v>
      </c>
      <c r="C1" s="10" t="s">
        <v>8</v>
      </c>
      <c r="D1" s="10" t="s">
        <v>9</v>
      </c>
      <c r="E1" s="10" t="s">
        <v>10</v>
      </c>
      <c r="F1" s="10" t="s">
        <v>12</v>
      </c>
      <c r="G1" s="10" t="s">
        <v>11</v>
      </c>
      <c r="H1" s="10" t="s">
        <v>14</v>
      </c>
      <c r="I1" s="10" t="s">
        <v>13</v>
      </c>
      <c r="J1" s="10" t="s">
        <v>15</v>
      </c>
      <c r="K1" s="10" t="s">
        <v>21</v>
      </c>
      <c r="L1" s="10" t="s">
        <v>22</v>
      </c>
      <c r="M1" s="10" t="s">
        <v>16</v>
      </c>
      <c r="N1" s="10" t="s">
        <v>17</v>
      </c>
      <c r="O1" s="10" t="s">
        <v>27</v>
      </c>
      <c r="P1" s="10" t="s">
        <v>28</v>
      </c>
      <c r="Q1" s="10" t="s">
        <v>18</v>
      </c>
    </row>
    <row r="2" customFormat="false" ht="15" hidden="false" customHeight="false" outlineLevel="0" collapsed="false">
      <c r="A2" s="5" t="s">
        <v>29</v>
      </c>
      <c r="B2" s="5" t="s">
        <v>30</v>
      </c>
      <c r="C2" s="6" t="n">
        <v>260</v>
      </c>
      <c r="D2" s="6" t="n">
        <v>207</v>
      </c>
      <c r="E2" s="6" t="n">
        <v>60</v>
      </c>
      <c r="F2" s="6" t="n">
        <v>56</v>
      </c>
      <c r="G2" s="6" t="n">
        <v>81</v>
      </c>
      <c r="H2" s="6" t="n">
        <v>36</v>
      </c>
      <c r="I2" s="6" t="n">
        <v>33</v>
      </c>
      <c r="J2" s="6" t="n">
        <v>35</v>
      </c>
      <c r="K2" s="6" t="n">
        <v>19</v>
      </c>
      <c r="L2" s="6" t="n">
        <v>7</v>
      </c>
      <c r="M2" s="6" t="n">
        <v>14</v>
      </c>
      <c r="N2" s="6" t="n">
        <f aca="false">SUM(C2:M2)</f>
        <v>808</v>
      </c>
      <c r="O2" s="6" t="n">
        <v>820</v>
      </c>
      <c r="P2" s="6" t="n">
        <v>1130</v>
      </c>
      <c r="Q2" s="7" t="n">
        <f aca="false">O2/P2</f>
        <v>0.725663716814159</v>
      </c>
    </row>
    <row r="3" customFormat="false" ht="15" hidden="false" customHeight="false" outlineLevel="0" collapsed="false">
      <c r="A3" s="5" t="s">
        <v>31</v>
      </c>
      <c r="B3" s="5" t="s">
        <v>32</v>
      </c>
      <c r="C3" s="6" t="n">
        <v>258</v>
      </c>
      <c r="D3" s="6" t="n">
        <v>231</v>
      </c>
      <c r="E3" s="6" t="n">
        <v>124</v>
      </c>
      <c r="F3" s="6" t="n">
        <v>114</v>
      </c>
      <c r="G3" s="6" t="n">
        <v>45</v>
      </c>
      <c r="H3" s="6" t="n">
        <v>70</v>
      </c>
      <c r="I3" s="6" t="n">
        <v>47</v>
      </c>
      <c r="J3" s="6" t="n">
        <v>48</v>
      </c>
      <c r="K3" s="6" t="n">
        <v>46</v>
      </c>
      <c r="L3" s="6" t="n">
        <v>8</v>
      </c>
      <c r="M3" s="6" t="n">
        <v>8</v>
      </c>
      <c r="N3" s="6" t="n">
        <f aca="false">SUM(C3:M3)</f>
        <v>999</v>
      </c>
      <c r="O3" s="6" t="n">
        <v>1006</v>
      </c>
      <c r="P3" s="6" t="n">
        <v>1148</v>
      </c>
      <c r="Q3" s="7" t="n">
        <f aca="false">O3/P3</f>
        <v>0.876306620209059</v>
      </c>
    </row>
    <row r="4" customFormat="false" ht="15" hidden="false" customHeight="false" outlineLevel="0" collapsed="false">
      <c r="A4" s="5" t="s">
        <v>33</v>
      </c>
      <c r="B4" s="5" t="s">
        <v>34</v>
      </c>
      <c r="C4" s="6" t="n">
        <v>348</v>
      </c>
      <c r="D4" s="6" t="n">
        <v>207</v>
      </c>
      <c r="E4" s="6" t="n">
        <v>78</v>
      </c>
      <c r="F4" s="6" t="n">
        <v>60</v>
      </c>
      <c r="G4" s="6" t="n">
        <v>75</v>
      </c>
      <c r="H4" s="6" t="n">
        <v>30</v>
      </c>
      <c r="I4" s="6" t="n">
        <v>32</v>
      </c>
      <c r="J4" s="6" t="n">
        <v>29</v>
      </c>
      <c r="K4" s="6" t="n">
        <v>19</v>
      </c>
      <c r="L4" s="6" t="n">
        <v>10</v>
      </c>
      <c r="M4" s="6" t="n">
        <v>22</v>
      </c>
      <c r="N4" s="6" t="n">
        <f aca="false">SUM(C4:M4)</f>
        <v>910</v>
      </c>
      <c r="O4" s="6" t="n">
        <v>917</v>
      </c>
      <c r="P4" s="6" t="n">
        <v>1135</v>
      </c>
      <c r="Q4" s="7" t="n">
        <f aca="false">O4/P4</f>
        <v>0.807929515418502</v>
      </c>
    </row>
    <row r="5" customFormat="false" ht="15" hidden="false" customHeight="false" outlineLevel="0" collapsed="false">
      <c r="A5" s="5" t="s">
        <v>35</v>
      </c>
      <c r="B5" s="5" t="s">
        <v>36</v>
      </c>
      <c r="C5" s="6" t="n">
        <v>347</v>
      </c>
      <c r="D5" s="6" t="n">
        <v>242</v>
      </c>
      <c r="E5" s="6" t="n">
        <v>92</v>
      </c>
      <c r="F5" s="6" t="n">
        <v>53</v>
      </c>
      <c r="G5" s="6" t="n">
        <v>69</v>
      </c>
      <c r="H5" s="6" t="n">
        <v>19</v>
      </c>
      <c r="I5" s="6" t="n">
        <v>21</v>
      </c>
      <c r="J5" s="6" t="n">
        <v>18</v>
      </c>
      <c r="K5" s="6" t="n">
        <v>18</v>
      </c>
      <c r="L5" s="6" t="n">
        <v>8</v>
      </c>
      <c r="M5" s="6" t="n">
        <v>9</v>
      </c>
      <c r="N5" s="6" t="n">
        <f aca="false">SUM(C5:M5)</f>
        <v>896</v>
      </c>
      <c r="O5" s="6" t="n">
        <v>908</v>
      </c>
      <c r="P5" s="6" t="n">
        <v>1115</v>
      </c>
      <c r="Q5" s="7" t="n">
        <f aca="false">O5/P5</f>
        <v>0.814349775784753</v>
      </c>
    </row>
    <row r="6" customFormat="false" ht="15" hidden="false" customHeight="false" outlineLevel="0" collapsed="false">
      <c r="A6" s="5" t="s">
        <v>37</v>
      </c>
      <c r="B6" s="5" t="s">
        <v>38</v>
      </c>
      <c r="C6" s="6" t="n">
        <v>384</v>
      </c>
      <c r="D6" s="6" t="n">
        <v>180</v>
      </c>
      <c r="E6" s="6" t="n">
        <v>75</v>
      </c>
      <c r="F6" s="6" t="n">
        <v>45</v>
      </c>
      <c r="G6" s="6" t="n">
        <v>60</v>
      </c>
      <c r="H6" s="6" t="n">
        <v>22</v>
      </c>
      <c r="I6" s="6" t="n">
        <v>17</v>
      </c>
      <c r="J6" s="6" t="n">
        <v>15</v>
      </c>
      <c r="K6" s="6" t="n">
        <v>31</v>
      </c>
      <c r="L6" s="6" t="n">
        <v>3</v>
      </c>
      <c r="M6" s="6" t="n">
        <v>9</v>
      </c>
      <c r="N6" s="6" t="n">
        <f aca="false">SUM(C6:M6)</f>
        <v>841</v>
      </c>
      <c r="O6" s="6" t="n">
        <v>851</v>
      </c>
      <c r="P6" s="6" t="n">
        <v>1034</v>
      </c>
      <c r="Q6" s="7" t="n">
        <f aca="false">O6/P6</f>
        <v>0.823017408123791</v>
      </c>
    </row>
    <row r="7" customFormat="false" ht="15" hidden="false" customHeight="false" outlineLevel="0" collapsed="false">
      <c r="A7" s="5" t="s">
        <v>39</v>
      </c>
      <c r="B7" s="5" t="s">
        <v>40</v>
      </c>
      <c r="C7" s="6" t="n">
        <v>348</v>
      </c>
      <c r="D7" s="6" t="n">
        <v>226</v>
      </c>
      <c r="E7" s="6" t="n">
        <v>78</v>
      </c>
      <c r="F7" s="6" t="n">
        <v>68</v>
      </c>
      <c r="G7" s="6" t="n">
        <v>53</v>
      </c>
      <c r="H7" s="6" t="n">
        <v>24</v>
      </c>
      <c r="I7" s="6" t="n">
        <v>29</v>
      </c>
      <c r="J7" s="6" t="n">
        <v>17</v>
      </c>
      <c r="K7" s="6" t="n">
        <v>27</v>
      </c>
      <c r="L7" s="6" t="n">
        <v>6</v>
      </c>
      <c r="M7" s="6" t="n">
        <v>16</v>
      </c>
      <c r="N7" s="6" t="n">
        <f aca="false">SUM(C7:M7)</f>
        <v>892</v>
      </c>
      <c r="O7" s="6" t="n">
        <v>902</v>
      </c>
      <c r="P7" s="6" t="n">
        <v>1052</v>
      </c>
      <c r="Q7" s="7" t="n">
        <f aca="false">O7/P7</f>
        <v>0.857414448669202</v>
      </c>
    </row>
    <row r="8" customFormat="false" ht="15" hidden="false" customHeight="false" outlineLevel="0" collapsed="false">
      <c r="A8" s="5" t="s">
        <v>41</v>
      </c>
      <c r="B8" s="5" t="s">
        <v>42</v>
      </c>
      <c r="C8" s="6" t="n">
        <v>421</v>
      </c>
      <c r="D8" s="6" t="n">
        <v>235</v>
      </c>
      <c r="E8" s="6" t="n">
        <v>68</v>
      </c>
      <c r="F8" s="6" t="n">
        <v>71</v>
      </c>
      <c r="G8" s="6" t="n">
        <v>77</v>
      </c>
      <c r="H8" s="6" t="n">
        <v>34</v>
      </c>
      <c r="I8" s="6" t="n">
        <v>31</v>
      </c>
      <c r="J8" s="6" t="n">
        <v>27</v>
      </c>
      <c r="K8" s="6" t="n">
        <v>23</v>
      </c>
      <c r="L8" s="6" t="n">
        <v>6</v>
      </c>
      <c r="M8" s="6" t="n">
        <v>18</v>
      </c>
      <c r="N8" s="6" t="n">
        <f aca="false">SUM(C8:M8)</f>
        <v>1011</v>
      </c>
      <c r="O8" s="6" t="n">
        <v>1023</v>
      </c>
      <c r="P8" s="6" t="n">
        <v>1237</v>
      </c>
      <c r="Q8" s="7" t="n">
        <f aca="false">O8/P8</f>
        <v>0.827000808407437</v>
      </c>
    </row>
    <row r="9" customFormat="false" ht="15" hidden="false" customHeight="false" outlineLevel="0" collapsed="false">
      <c r="A9" s="5" t="s">
        <v>43</v>
      </c>
      <c r="B9" s="5" t="s">
        <v>44</v>
      </c>
      <c r="C9" s="6" t="n">
        <v>397</v>
      </c>
      <c r="D9" s="6" t="n">
        <v>296</v>
      </c>
      <c r="E9" s="6" t="n">
        <v>89</v>
      </c>
      <c r="F9" s="6" t="n">
        <v>127</v>
      </c>
      <c r="G9" s="6" t="n">
        <v>89</v>
      </c>
      <c r="H9" s="6" t="n">
        <v>51</v>
      </c>
      <c r="I9" s="6" t="n">
        <v>38</v>
      </c>
      <c r="J9" s="6" t="n">
        <v>39</v>
      </c>
      <c r="K9" s="6" t="n">
        <v>24</v>
      </c>
      <c r="L9" s="6" t="n">
        <v>6</v>
      </c>
      <c r="M9" s="6" t="n">
        <v>16</v>
      </c>
      <c r="N9" s="6" t="n">
        <f aca="false">SUM(C9:M9)</f>
        <v>1172</v>
      </c>
      <c r="O9" s="6" t="n">
        <v>1187</v>
      </c>
      <c r="P9" s="6" t="n">
        <v>1457</v>
      </c>
      <c r="Q9" s="7" t="n">
        <f aca="false">O9/P9</f>
        <v>0.814687714481812</v>
      </c>
    </row>
    <row r="10" customFormat="false" ht="15" hidden="false" customHeight="false" outlineLevel="0" collapsed="false">
      <c r="A10" s="5" t="s">
        <v>45</v>
      </c>
      <c r="B10" s="5" t="s">
        <v>46</v>
      </c>
      <c r="C10" s="6" t="n">
        <v>273</v>
      </c>
      <c r="D10" s="6" t="n">
        <v>218</v>
      </c>
      <c r="E10" s="6" t="n">
        <v>57</v>
      </c>
      <c r="F10" s="6" t="n">
        <v>80</v>
      </c>
      <c r="G10" s="6" t="n">
        <v>81</v>
      </c>
      <c r="H10" s="6" t="n">
        <v>39</v>
      </c>
      <c r="I10" s="6" t="n">
        <v>29</v>
      </c>
      <c r="J10" s="6" t="n">
        <v>36</v>
      </c>
      <c r="K10" s="6" t="n">
        <v>19</v>
      </c>
      <c r="L10" s="6" t="n">
        <v>9</v>
      </c>
      <c r="M10" s="6" t="n">
        <v>11</v>
      </c>
      <c r="N10" s="6" t="n">
        <f aca="false">SUM(C10:M10)</f>
        <v>852</v>
      </c>
      <c r="O10" s="6" t="n">
        <v>861</v>
      </c>
      <c r="P10" s="6" t="n">
        <v>1052</v>
      </c>
      <c r="Q10" s="7" t="n">
        <f aca="false">O10/P10</f>
        <v>0.818441064638783</v>
      </c>
    </row>
    <row r="11" customFormat="false" ht="15" hidden="false" customHeight="false" outlineLevel="0" collapsed="false">
      <c r="A11" s="5" t="s">
        <v>47</v>
      </c>
      <c r="B11" s="5" t="s">
        <v>48</v>
      </c>
      <c r="C11" s="6" t="n">
        <v>303</v>
      </c>
      <c r="D11" s="6" t="n">
        <v>209</v>
      </c>
      <c r="E11" s="6" t="n">
        <v>62</v>
      </c>
      <c r="F11" s="6" t="n">
        <v>55</v>
      </c>
      <c r="G11" s="6" t="n">
        <v>71</v>
      </c>
      <c r="H11" s="6" t="n">
        <v>23</v>
      </c>
      <c r="I11" s="6" t="n">
        <v>19</v>
      </c>
      <c r="J11" s="6" t="n">
        <v>16</v>
      </c>
      <c r="K11" s="6" t="n">
        <v>13</v>
      </c>
      <c r="L11" s="6" t="n">
        <v>6</v>
      </c>
      <c r="M11" s="6" t="n">
        <v>17</v>
      </c>
      <c r="N11" s="6" t="n">
        <f aca="false">SUM(C11:M11)</f>
        <v>794</v>
      </c>
      <c r="O11" s="6" t="n">
        <v>808</v>
      </c>
      <c r="P11" s="6" t="n">
        <v>997</v>
      </c>
      <c r="Q11" s="7" t="n">
        <f aca="false">O11/P11</f>
        <v>0.810431293881645</v>
      </c>
    </row>
    <row r="12" customFormat="false" ht="15" hidden="false" customHeight="false" outlineLevel="0" collapsed="false">
      <c r="A12" s="5" t="s">
        <v>49</v>
      </c>
      <c r="B12" s="5" t="s">
        <v>50</v>
      </c>
      <c r="C12" s="6" t="n">
        <v>302</v>
      </c>
      <c r="D12" s="6" t="n">
        <v>255</v>
      </c>
      <c r="E12" s="6" t="n">
        <v>53</v>
      </c>
      <c r="F12" s="6" t="n">
        <v>83</v>
      </c>
      <c r="G12" s="6" t="n">
        <v>86</v>
      </c>
      <c r="H12" s="6" t="n">
        <v>43</v>
      </c>
      <c r="I12" s="6" t="n">
        <v>26</v>
      </c>
      <c r="J12" s="6" t="n">
        <v>21</v>
      </c>
      <c r="K12" s="6" t="n">
        <v>16</v>
      </c>
      <c r="L12" s="6" t="n">
        <v>4</v>
      </c>
      <c r="M12" s="6" t="n">
        <v>21</v>
      </c>
      <c r="N12" s="6" t="n">
        <f aca="false">SUM(C12:M12)</f>
        <v>910</v>
      </c>
      <c r="O12" s="6" t="n">
        <v>923</v>
      </c>
      <c r="P12" s="6" t="n">
        <v>1193</v>
      </c>
      <c r="Q12" s="7" t="n">
        <f aca="false">O12/P12</f>
        <v>0.773679798826488</v>
      </c>
    </row>
    <row r="13" customFormat="false" ht="15" hidden="false" customHeight="false" outlineLevel="0" collapsed="false">
      <c r="A13" s="5" t="s">
        <v>51</v>
      </c>
      <c r="B13" s="5" t="s">
        <v>52</v>
      </c>
      <c r="C13" s="6" t="n">
        <v>221</v>
      </c>
      <c r="D13" s="6" t="n">
        <v>238</v>
      </c>
      <c r="E13" s="6" t="n">
        <v>55</v>
      </c>
      <c r="F13" s="6" t="n">
        <v>97</v>
      </c>
      <c r="G13" s="6" t="n">
        <v>76</v>
      </c>
      <c r="H13" s="6" t="n">
        <v>33</v>
      </c>
      <c r="I13" s="6" t="n">
        <v>21</v>
      </c>
      <c r="J13" s="6" t="n">
        <v>43</v>
      </c>
      <c r="K13" s="6" t="n">
        <v>26</v>
      </c>
      <c r="L13" s="6" t="n">
        <v>11</v>
      </c>
      <c r="M13" s="6" t="n">
        <v>17</v>
      </c>
      <c r="N13" s="6" t="n">
        <f aca="false">SUM(C13:M13)</f>
        <v>838</v>
      </c>
      <c r="O13" s="6" t="n">
        <v>844</v>
      </c>
      <c r="P13" s="6" t="n">
        <v>1081</v>
      </c>
      <c r="Q13" s="7" t="n">
        <f aca="false">O13/P13</f>
        <v>0.780758556891767</v>
      </c>
    </row>
    <row r="14" customFormat="false" ht="15" hidden="false" customHeight="false" outlineLevel="0" collapsed="false">
      <c r="A14" s="5" t="s">
        <v>53</v>
      </c>
      <c r="B14" s="5" t="s">
        <v>54</v>
      </c>
      <c r="C14" s="6" t="n">
        <v>333</v>
      </c>
      <c r="D14" s="6" t="n">
        <v>290</v>
      </c>
      <c r="E14" s="6" t="n">
        <v>95</v>
      </c>
      <c r="F14" s="6" t="n">
        <v>104</v>
      </c>
      <c r="G14" s="6" t="n">
        <v>84</v>
      </c>
      <c r="H14" s="6" t="n">
        <v>44</v>
      </c>
      <c r="I14" s="6" t="n">
        <v>40</v>
      </c>
      <c r="J14" s="6" t="n">
        <v>36</v>
      </c>
      <c r="K14" s="6" t="n">
        <v>24</v>
      </c>
      <c r="L14" s="6" t="n">
        <v>11</v>
      </c>
      <c r="M14" s="6" t="n">
        <v>12</v>
      </c>
      <c r="N14" s="6" t="n">
        <f aca="false">SUM(C14:M14)</f>
        <v>1073</v>
      </c>
      <c r="O14" s="6" t="n">
        <v>1085</v>
      </c>
      <c r="P14" s="6" t="n">
        <v>1327</v>
      </c>
      <c r="Q14" s="7" t="n">
        <f aca="false">O14/P14</f>
        <v>0.817633760361718</v>
      </c>
    </row>
    <row r="15" customFormat="false" ht="15" hidden="false" customHeight="false" outlineLevel="0" collapsed="false">
      <c r="A15" s="5" t="s">
        <v>55</v>
      </c>
      <c r="B15" s="5" t="s">
        <v>56</v>
      </c>
      <c r="C15" s="6" t="n">
        <v>267</v>
      </c>
      <c r="D15" s="6" t="n">
        <v>265</v>
      </c>
      <c r="E15" s="6" t="n">
        <v>76</v>
      </c>
      <c r="F15" s="6" t="n">
        <v>103</v>
      </c>
      <c r="G15" s="6" t="n">
        <v>66</v>
      </c>
      <c r="H15" s="6" t="n">
        <v>64</v>
      </c>
      <c r="I15" s="6" t="n">
        <v>30</v>
      </c>
      <c r="J15" s="6" t="n">
        <v>36</v>
      </c>
      <c r="K15" s="6" t="n">
        <v>28</v>
      </c>
      <c r="L15" s="6" t="n">
        <v>8</v>
      </c>
      <c r="M15" s="6" t="n">
        <v>10</v>
      </c>
      <c r="N15" s="6" t="n">
        <f aca="false">SUM(C15:M15)</f>
        <v>953</v>
      </c>
      <c r="O15" s="6" t="n">
        <v>961</v>
      </c>
      <c r="P15" s="6" t="n">
        <v>1144</v>
      </c>
      <c r="Q15" s="7" t="n">
        <f aca="false">O15/P15</f>
        <v>0.840034965034965</v>
      </c>
    </row>
    <row r="16" customFormat="false" ht="15" hidden="false" customHeight="false" outlineLevel="0" collapsed="false">
      <c r="A16" s="5" t="s">
        <v>57</v>
      </c>
      <c r="B16" s="5" t="s">
        <v>58</v>
      </c>
      <c r="C16" s="6" t="n">
        <v>329</v>
      </c>
      <c r="D16" s="6" t="n">
        <v>263</v>
      </c>
      <c r="E16" s="6" t="n">
        <v>80</v>
      </c>
      <c r="F16" s="6" t="n">
        <v>107</v>
      </c>
      <c r="G16" s="6" t="n">
        <v>55</v>
      </c>
      <c r="H16" s="6" t="n">
        <v>47</v>
      </c>
      <c r="I16" s="6" t="n">
        <v>42</v>
      </c>
      <c r="J16" s="6" t="n">
        <v>27</v>
      </c>
      <c r="K16" s="6" t="n">
        <v>47</v>
      </c>
      <c r="L16" s="6" t="n">
        <v>4</v>
      </c>
      <c r="M16" s="6" t="n">
        <v>23</v>
      </c>
      <c r="N16" s="6" t="n">
        <f aca="false">SUM(C16:M16)</f>
        <v>1024</v>
      </c>
      <c r="O16" s="6" t="n">
        <v>1035</v>
      </c>
      <c r="P16" s="6" t="n">
        <v>1196</v>
      </c>
      <c r="Q16" s="7" t="n">
        <f aca="false">O16/P16</f>
        <v>0.865384615384615</v>
      </c>
    </row>
    <row r="17" customFormat="false" ht="15" hidden="false" customHeight="false" outlineLevel="0" collapsed="false">
      <c r="A17" s="5" t="s">
        <v>59</v>
      </c>
      <c r="B17" s="5" t="s">
        <v>60</v>
      </c>
      <c r="C17" s="6" t="n">
        <v>293</v>
      </c>
      <c r="D17" s="6" t="n">
        <v>222</v>
      </c>
      <c r="E17" s="6" t="n">
        <v>76</v>
      </c>
      <c r="F17" s="6" t="n">
        <v>69</v>
      </c>
      <c r="G17" s="6" t="n">
        <v>72</v>
      </c>
      <c r="H17" s="6" t="n">
        <v>33</v>
      </c>
      <c r="I17" s="6" t="n">
        <v>33</v>
      </c>
      <c r="J17" s="6" t="n">
        <v>29</v>
      </c>
      <c r="K17" s="6" t="n">
        <v>19</v>
      </c>
      <c r="L17" s="6" t="n">
        <v>4</v>
      </c>
      <c r="M17" s="6" t="n">
        <v>14</v>
      </c>
      <c r="N17" s="6" t="n">
        <f aca="false">SUM(C17:M17)</f>
        <v>864</v>
      </c>
      <c r="O17" s="6" t="n">
        <v>875</v>
      </c>
      <c r="P17" s="6" t="n">
        <v>1050</v>
      </c>
      <c r="Q17" s="7" t="n">
        <f aca="false">O17/P17</f>
        <v>0.833333333333333</v>
      </c>
    </row>
    <row r="18" customFormat="false" ht="15" hidden="false" customHeight="false" outlineLevel="0" collapsed="false">
      <c r="A18" s="5" t="s">
        <v>61</v>
      </c>
      <c r="B18" s="5" t="s">
        <v>62</v>
      </c>
      <c r="C18" s="6" t="n">
        <v>412</v>
      </c>
      <c r="D18" s="6" t="n">
        <v>238</v>
      </c>
      <c r="E18" s="6" t="n">
        <v>77</v>
      </c>
      <c r="F18" s="6" t="n">
        <v>63</v>
      </c>
      <c r="G18" s="6" t="n">
        <v>65</v>
      </c>
      <c r="H18" s="6" t="n">
        <v>25</v>
      </c>
      <c r="I18" s="6" t="n">
        <v>22</v>
      </c>
      <c r="J18" s="6" t="n">
        <v>27</v>
      </c>
      <c r="K18" s="6" t="n">
        <v>30</v>
      </c>
      <c r="L18" s="6" t="n">
        <v>8</v>
      </c>
      <c r="M18" s="6" t="n">
        <v>15</v>
      </c>
      <c r="N18" s="6" t="n">
        <f aca="false">SUM(C18:M18)</f>
        <v>982</v>
      </c>
      <c r="O18" s="6" t="n">
        <v>994</v>
      </c>
      <c r="P18" s="6" t="n">
        <v>1154</v>
      </c>
      <c r="Q18" s="7" t="n">
        <f aca="false">O18/P18</f>
        <v>0.861351819757366</v>
      </c>
    </row>
    <row r="19" customFormat="false" ht="15" hidden="false" customHeight="false" outlineLevel="0" collapsed="false">
      <c r="A19" s="5" t="s">
        <v>63</v>
      </c>
      <c r="B19" s="5" t="s">
        <v>64</v>
      </c>
      <c r="C19" s="6" t="n">
        <v>441</v>
      </c>
      <c r="D19" s="6" t="n">
        <v>249</v>
      </c>
      <c r="E19" s="6" t="n">
        <v>85</v>
      </c>
      <c r="F19" s="6" t="n">
        <v>57</v>
      </c>
      <c r="G19" s="6" t="n">
        <v>52</v>
      </c>
      <c r="H19" s="6" t="n">
        <v>20</v>
      </c>
      <c r="I19" s="6" t="n">
        <v>25</v>
      </c>
      <c r="J19" s="6" t="n">
        <v>20</v>
      </c>
      <c r="K19" s="6" t="n">
        <v>21</v>
      </c>
      <c r="L19" s="6" t="n">
        <v>10</v>
      </c>
      <c r="M19" s="6" t="n">
        <v>14</v>
      </c>
      <c r="N19" s="6" t="n">
        <f aca="false">SUM(C19:M19)</f>
        <v>994</v>
      </c>
      <c r="O19" s="6" t="n">
        <v>1009</v>
      </c>
      <c r="P19" s="6" t="n">
        <v>1237</v>
      </c>
      <c r="Q19" s="7" t="n">
        <f aca="false">O19/P19</f>
        <v>0.815683104284559</v>
      </c>
    </row>
    <row r="20" customFormat="false" ht="15" hidden="false" customHeight="false" outlineLevel="0" collapsed="false">
      <c r="A20" s="5" t="s">
        <v>65</v>
      </c>
      <c r="B20" s="5" t="s">
        <v>66</v>
      </c>
      <c r="C20" s="6" t="n">
        <v>343</v>
      </c>
      <c r="D20" s="6" t="n">
        <v>259</v>
      </c>
      <c r="E20" s="6" t="n">
        <v>93</v>
      </c>
      <c r="F20" s="6" t="n">
        <v>78</v>
      </c>
      <c r="G20" s="6" t="n">
        <v>55</v>
      </c>
      <c r="H20" s="6" t="n">
        <v>23</v>
      </c>
      <c r="I20" s="6" t="n">
        <v>28</v>
      </c>
      <c r="J20" s="6" t="n">
        <v>16</v>
      </c>
      <c r="K20" s="6" t="n">
        <v>24</v>
      </c>
      <c r="L20" s="6" t="n">
        <v>7</v>
      </c>
      <c r="M20" s="6" t="n">
        <v>18</v>
      </c>
      <c r="N20" s="6" t="n">
        <f aca="false">SUM(C20:M20)</f>
        <v>944</v>
      </c>
      <c r="O20" s="6" t="n">
        <v>956</v>
      </c>
      <c r="P20" s="6" t="n">
        <v>1121</v>
      </c>
      <c r="Q20" s="7" t="n">
        <f aca="false">O20/P20</f>
        <v>0.852809991079393</v>
      </c>
    </row>
    <row r="21" customFormat="false" ht="15" hidden="false" customHeight="false" outlineLevel="0" collapsed="false">
      <c r="A21" s="5" t="s">
        <v>67</v>
      </c>
      <c r="B21" s="5" t="s">
        <v>68</v>
      </c>
      <c r="C21" s="6" t="n">
        <v>392</v>
      </c>
      <c r="D21" s="6" t="n">
        <v>208</v>
      </c>
      <c r="E21" s="6" t="n">
        <v>72</v>
      </c>
      <c r="F21" s="6" t="n">
        <v>69</v>
      </c>
      <c r="G21" s="6" t="n">
        <v>69</v>
      </c>
      <c r="H21" s="6" t="n">
        <v>33</v>
      </c>
      <c r="I21" s="6" t="n">
        <v>18</v>
      </c>
      <c r="J21" s="6" t="n">
        <v>29</v>
      </c>
      <c r="K21" s="6" t="n">
        <v>10</v>
      </c>
      <c r="L21" s="6" t="n">
        <v>7</v>
      </c>
      <c r="M21" s="6" t="n">
        <v>22</v>
      </c>
      <c r="N21" s="6" t="n">
        <f aca="false">SUM(C21:M21)</f>
        <v>929</v>
      </c>
      <c r="O21" s="6" t="n">
        <v>943</v>
      </c>
      <c r="P21" s="6" t="n">
        <v>1239</v>
      </c>
      <c r="Q21" s="7" t="n">
        <f aca="false">O21/P21</f>
        <v>0.761097659402744</v>
      </c>
    </row>
    <row r="22" customFormat="false" ht="15" hidden="false" customHeight="false" outlineLevel="0" collapsed="false">
      <c r="A22" s="5" t="s">
        <v>69</v>
      </c>
      <c r="B22" s="5" t="s">
        <v>70</v>
      </c>
      <c r="C22" s="6" t="n">
        <v>395</v>
      </c>
      <c r="D22" s="6" t="n">
        <v>265</v>
      </c>
      <c r="E22" s="6" t="n">
        <v>95</v>
      </c>
      <c r="F22" s="6" t="n">
        <v>54</v>
      </c>
      <c r="G22" s="6" t="n">
        <v>56</v>
      </c>
      <c r="H22" s="6" t="n">
        <v>25</v>
      </c>
      <c r="I22" s="6" t="n">
        <v>35</v>
      </c>
      <c r="J22" s="6" t="n">
        <v>19</v>
      </c>
      <c r="K22" s="6" t="n">
        <v>25</v>
      </c>
      <c r="L22" s="6" t="n">
        <v>5</v>
      </c>
      <c r="M22" s="6" t="n">
        <v>13</v>
      </c>
      <c r="N22" s="6" t="n">
        <f aca="false">SUM(C22:M22)</f>
        <v>987</v>
      </c>
      <c r="O22" s="6" t="n">
        <v>1005</v>
      </c>
      <c r="P22" s="6" t="n">
        <v>1229</v>
      </c>
      <c r="Q22" s="7" t="n">
        <f aca="false">O22/P22</f>
        <v>0.817737998372661</v>
      </c>
    </row>
    <row r="23" customFormat="false" ht="15" hidden="false" customHeight="false" outlineLevel="0" collapsed="false">
      <c r="A23" s="5" t="s">
        <v>71</v>
      </c>
      <c r="B23" s="5" t="s">
        <v>72</v>
      </c>
      <c r="C23" s="6" t="n">
        <v>286</v>
      </c>
      <c r="D23" s="6" t="n">
        <v>262</v>
      </c>
      <c r="E23" s="6" t="n">
        <v>47</v>
      </c>
      <c r="F23" s="6" t="n">
        <v>81</v>
      </c>
      <c r="G23" s="6" t="n">
        <v>95</v>
      </c>
      <c r="H23" s="6" t="n">
        <v>38</v>
      </c>
      <c r="I23" s="6" t="n">
        <v>31</v>
      </c>
      <c r="J23" s="6" t="n">
        <v>27</v>
      </c>
      <c r="K23" s="6" t="n">
        <v>24</v>
      </c>
      <c r="L23" s="6" t="n">
        <v>6</v>
      </c>
      <c r="M23" s="6" t="n">
        <v>23</v>
      </c>
      <c r="N23" s="6" t="n">
        <f aca="false">SUM(C23:M23)</f>
        <v>920</v>
      </c>
      <c r="O23" s="6" t="n">
        <v>930</v>
      </c>
      <c r="P23" s="6" t="n">
        <v>1182</v>
      </c>
      <c r="Q23" s="7" t="n">
        <f aca="false">O23/P23</f>
        <v>0.786802030456853</v>
      </c>
    </row>
    <row r="24" customFormat="false" ht="15" hidden="false" customHeight="false" outlineLevel="0" collapsed="false">
      <c r="A24" s="5" t="s">
        <v>73</v>
      </c>
      <c r="B24" s="5" t="s">
        <v>74</v>
      </c>
      <c r="C24" s="6" t="n">
        <v>370</v>
      </c>
      <c r="D24" s="6" t="n">
        <v>254</v>
      </c>
      <c r="E24" s="6" t="n">
        <v>79</v>
      </c>
      <c r="F24" s="6" t="n">
        <v>59</v>
      </c>
      <c r="G24" s="6" t="n">
        <v>78</v>
      </c>
      <c r="H24" s="6" t="n">
        <v>33</v>
      </c>
      <c r="I24" s="6" t="n">
        <v>33</v>
      </c>
      <c r="J24" s="6" t="n">
        <v>25</v>
      </c>
      <c r="K24" s="6" t="n">
        <v>25</v>
      </c>
      <c r="L24" s="6" t="n">
        <v>4</v>
      </c>
      <c r="M24" s="6" t="n">
        <v>17</v>
      </c>
      <c r="N24" s="6" t="n">
        <f aca="false">SUM(C24:M24)</f>
        <v>977</v>
      </c>
      <c r="O24" s="6" t="n">
        <v>989</v>
      </c>
      <c r="P24" s="6" t="n">
        <v>1227</v>
      </c>
      <c r="Q24" s="7" t="n">
        <f aca="false">O24/P24</f>
        <v>0.806030969845151</v>
      </c>
    </row>
    <row r="25" customFormat="false" ht="15" hidden="false" customHeight="false" outlineLevel="0" collapsed="false">
      <c r="A25" s="11"/>
      <c r="B25" s="11" t="s">
        <v>75</v>
      </c>
      <c r="C25" s="12" t="n">
        <f aca="false">SUM(C2:C24)</f>
        <v>7723</v>
      </c>
      <c r="D25" s="12" t="n">
        <f aca="false">SUM(D2:D24)</f>
        <v>5519</v>
      </c>
      <c r="E25" s="12" t="n">
        <f aca="false">SUM(E2:E24)</f>
        <v>1766</v>
      </c>
      <c r="F25" s="12" t="n">
        <f aca="false">SUM(F2:F24)</f>
        <v>1753</v>
      </c>
      <c r="G25" s="12" t="n">
        <f aca="false">SUM(G2:G24)</f>
        <v>1610</v>
      </c>
      <c r="H25" s="12" t="n">
        <f aca="false">SUM(H2:H24)</f>
        <v>809</v>
      </c>
      <c r="I25" s="12" t="n">
        <f aca="false">SUM(I2:I24)</f>
        <v>680</v>
      </c>
      <c r="J25" s="12" t="n">
        <f aca="false">SUM(J2:J24)</f>
        <v>635</v>
      </c>
      <c r="K25" s="12" t="n">
        <f aca="false">SUM(K2:K24)</f>
        <v>558</v>
      </c>
      <c r="L25" s="12" t="n">
        <f aca="false">SUM(L2:L24)</f>
        <v>158</v>
      </c>
      <c r="M25" s="12" t="n">
        <f aca="false">SUM(M2:M24)</f>
        <v>359</v>
      </c>
      <c r="N25" s="12" t="n">
        <f aca="false">SUM(N2:N24)</f>
        <v>21570</v>
      </c>
      <c r="O25" s="12" t="n">
        <f aca="false">SUM(O2:O24)</f>
        <v>21832</v>
      </c>
      <c r="P25" s="12" t="n">
        <f aca="false">SUM(P2:P24)</f>
        <v>26737</v>
      </c>
      <c r="Q25" s="13" t="n">
        <f aca="false">O25/P25</f>
        <v>0.816546358978195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18" min="3" style="0" width="11"/>
  </cols>
  <sheetData>
    <row r="1" customFormat="false" ht="26.85" hidden="false" customHeight="false" outlineLevel="0" collapsed="false">
      <c r="A1" s="10" t="s">
        <v>25</v>
      </c>
      <c r="B1" s="10" t="s">
        <v>26</v>
      </c>
      <c r="C1" s="10" t="s">
        <v>8</v>
      </c>
      <c r="D1" s="10" t="s">
        <v>9</v>
      </c>
      <c r="E1" s="10" t="s">
        <v>10</v>
      </c>
      <c r="F1" s="10" t="s">
        <v>12</v>
      </c>
      <c r="G1" s="10" t="s">
        <v>11</v>
      </c>
      <c r="H1" s="10" t="s">
        <v>14</v>
      </c>
      <c r="I1" s="10" t="s">
        <v>21</v>
      </c>
      <c r="J1" s="10" t="s">
        <v>13</v>
      </c>
      <c r="K1" s="10" t="s">
        <v>15</v>
      </c>
      <c r="L1" s="10" t="s">
        <v>22</v>
      </c>
      <c r="M1" s="10" t="s">
        <v>24</v>
      </c>
      <c r="N1" s="10" t="s">
        <v>16</v>
      </c>
      <c r="O1" s="10" t="s">
        <v>17</v>
      </c>
      <c r="P1" s="10" t="s">
        <v>27</v>
      </c>
      <c r="Q1" s="10" t="s">
        <v>28</v>
      </c>
      <c r="R1" s="10" t="s">
        <v>18</v>
      </c>
    </row>
    <row r="2" customFormat="false" ht="15" hidden="false" customHeight="false" outlineLevel="0" collapsed="false">
      <c r="A2" s="5" t="s">
        <v>29</v>
      </c>
      <c r="B2" s="5" t="s">
        <v>30</v>
      </c>
      <c r="C2" s="6" t="n">
        <v>240</v>
      </c>
      <c r="D2" s="6" t="n">
        <v>204</v>
      </c>
      <c r="E2" s="6" t="n">
        <v>74</v>
      </c>
      <c r="F2" s="6" t="n">
        <v>59</v>
      </c>
      <c r="G2" s="6" t="n">
        <v>72</v>
      </c>
      <c r="H2" s="6" t="n">
        <v>49</v>
      </c>
      <c r="I2" s="6" t="n">
        <v>23</v>
      </c>
      <c r="J2" s="6" t="n">
        <v>24</v>
      </c>
      <c r="K2" s="6" t="n">
        <v>27</v>
      </c>
      <c r="L2" s="6" t="n">
        <v>12</v>
      </c>
      <c r="M2" s="6" t="n">
        <v>10</v>
      </c>
      <c r="N2" s="6" t="n">
        <v>16</v>
      </c>
      <c r="O2" s="6" t="n">
        <f aca="false">SUM(C2:N2)</f>
        <v>810</v>
      </c>
      <c r="P2" s="6" t="n">
        <v>825</v>
      </c>
      <c r="Q2" s="6" t="n">
        <v>1130</v>
      </c>
      <c r="R2" s="7" t="n">
        <f aca="false">P2/Q2</f>
        <v>0.730088495575221</v>
      </c>
    </row>
    <row r="3" customFormat="false" ht="15" hidden="false" customHeight="false" outlineLevel="0" collapsed="false">
      <c r="A3" s="5" t="s">
        <v>31</v>
      </c>
      <c r="B3" s="5" t="s">
        <v>32</v>
      </c>
      <c r="C3" s="6" t="n">
        <v>252</v>
      </c>
      <c r="D3" s="6" t="n">
        <v>198</v>
      </c>
      <c r="E3" s="6" t="n">
        <v>152</v>
      </c>
      <c r="F3" s="6" t="n">
        <v>113</v>
      </c>
      <c r="G3" s="6" t="n">
        <v>39</v>
      </c>
      <c r="H3" s="6" t="n">
        <v>75</v>
      </c>
      <c r="I3" s="6" t="n">
        <v>74</v>
      </c>
      <c r="J3" s="6" t="n">
        <v>43</v>
      </c>
      <c r="K3" s="6" t="n">
        <v>27</v>
      </c>
      <c r="L3" s="6" t="n">
        <v>14</v>
      </c>
      <c r="M3" s="6" t="n">
        <v>4</v>
      </c>
      <c r="N3" s="6" t="n">
        <v>11</v>
      </c>
      <c r="O3" s="6" t="n">
        <f aca="false">SUM(C3:N3)</f>
        <v>1002</v>
      </c>
      <c r="P3" s="6" t="n">
        <v>1007</v>
      </c>
      <c r="Q3" s="6" t="n">
        <v>1148</v>
      </c>
      <c r="R3" s="7" t="n">
        <f aca="false">P3/Q3</f>
        <v>0.877177700348432</v>
      </c>
    </row>
    <row r="4" customFormat="false" ht="15" hidden="false" customHeight="false" outlineLevel="0" collapsed="false">
      <c r="A4" s="5" t="s">
        <v>33</v>
      </c>
      <c r="B4" s="5" t="s">
        <v>34</v>
      </c>
      <c r="C4" s="6" t="n">
        <v>343</v>
      </c>
      <c r="D4" s="6" t="n">
        <v>196</v>
      </c>
      <c r="E4" s="6" t="n">
        <v>86</v>
      </c>
      <c r="F4" s="6" t="n">
        <v>57</v>
      </c>
      <c r="G4" s="6" t="n">
        <v>76</v>
      </c>
      <c r="H4" s="6" t="n">
        <v>23</v>
      </c>
      <c r="I4" s="6" t="n">
        <v>32</v>
      </c>
      <c r="J4" s="6" t="n">
        <v>30</v>
      </c>
      <c r="K4" s="6" t="n">
        <v>25</v>
      </c>
      <c r="L4" s="6" t="n">
        <v>12</v>
      </c>
      <c r="M4" s="6" t="n">
        <v>6</v>
      </c>
      <c r="N4" s="6" t="n">
        <v>22</v>
      </c>
      <c r="O4" s="6" t="n">
        <f aca="false">SUM(C4:N4)</f>
        <v>908</v>
      </c>
      <c r="P4" s="6" t="n">
        <v>915</v>
      </c>
      <c r="Q4" s="6" t="n">
        <v>1135</v>
      </c>
      <c r="R4" s="7" t="n">
        <f aca="false">P4/Q4</f>
        <v>0.806167400881057</v>
      </c>
    </row>
    <row r="5" customFormat="false" ht="15" hidden="false" customHeight="false" outlineLevel="0" collapsed="false">
      <c r="A5" s="5" t="s">
        <v>35</v>
      </c>
      <c r="B5" s="5" t="s">
        <v>36</v>
      </c>
      <c r="C5" s="6" t="n">
        <v>353</v>
      </c>
      <c r="D5" s="6" t="n">
        <v>207</v>
      </c>
      <c r="E5" s="6" t="n">
        <v>104</v>
      </c>
      <c r="F5" s="6" t="n">
        <v>58</v>
      </c>
      <c r="G5" s="6" t="n">
        <v>60</v>
      </c>
      <c r="H5" s="6" t="n">
        <v>23</v>
      </c>
      <c r="I5" s="6" t="n">
        <v>32</v>
      </c>
      <c r="J5" s="6" t="n">
        <v>21</v>
      </c>
      <c r="K5" s="6" t="n">
        <v>13</v>
      </c>
      <c r="L5" s="6" t="n">
        <v>10</v>
      </c>
      <c r="M5" s="6" t="n">
        <v>12</v>
      </c>
      <c r="N5" s="6" t="n">
        <v>9</v>
      </c>
      <c r="O5" s="6" t="n">
        <f aca="false">SUM(C5:N5)</f>
        <v>902</v>
      </c>
      <c r="P5" s="6" t="n">
        <v>913</v>
      </c>
      <c r="Q5" s="6" t="n">
        <v>1115</v>
      </c>
      <c r="R5" s="7" t="n">
        <f aca="false">P5/Q5</f>
        <v>0.818834080717489</v>
      </c>
    </row>
    <row r="6" customFormat="false" ht="15" hidden="false" customHeight="false" outlineLevel="0" collapsed="false">
      <c r="A6" s="5" t="s">
        <v>37</v>
      </c>
      <c r="B6" s="5" t="s">
        <v>38</v>
      </c>
      <c r="C6" s="6" t="n">
        <v>361</v>
      </c>
      <c r="D6" s="6" t="n">
        <v>164</v>
      </c>
      <c r="E6" s="6" t="n">
        <v>89</v>
      </c>
      <c r="F6" s="6" t="n">
        <v>43</v>
      </c>
      <c r="G6" s="6" t="n">
        <v>59</v>
      </c>
      <c r="H6" s="6" t="n">
        <v>26</v>
      </c>
      <c r="I6" s="6" t="n">
        <v>39</v>
      </c>
      <c r="J6" s="6" t="n">
        <v>12</v>
      </c>
      <c r="K6" s="6" t="n">
        <v>12</v>
      </c>
      <c r="L6" s="6" t="n">
        <v>18</v>
      </c>
      <c r="M6" s="6" t="n">
        <v>12</v>
      </c>
      <c r="N6" s="6" t="n">
        <v>7</v>
      </c>
      <c r="O6" s="6" t="n">
        <f aca="false">SUM(C6:N6)</f>
        <v>842</v>
      </c>
      <c r="P6" s="6" t="n">
        <v>850</v>
      </c>
      <c r="Q6" s="6" t="n">
        <v>1034</v>
      </c>
      <c r="R6" s="7" t="n">
        <f aca="false">P6/Q6</f>
        <v>0.822050290135397</v>
      </c>
    </row>
    <row r="7" customFormat="false" ht="15" hidden="false" customHeight="false" outlineLevel="0" collapsed="false">
      <c r="A7" s="5" t="s">
        <v>39</v>
      </c>
      <c r="B7" s="5" t="s">
        <v>40</v>
      </c>
      <c r="C7" s="6" t="n">
        <v>325</v>
      </c>
      <c r="D7" s="6" t="n">
        <v>220</v>
      </c>
      <c r="E7" s="6" t="n">
        <v>90</v>
      </c>
      <c r="F7" s="6" t="n">
        <v>67</v>
      </c>
      <c r="G7" s="6" t="n">
        <v>48</v>
      </c>
      <c r="H7" s="6" t="n">
        <v>36</v>
      </c>
      <c r="I7" s="6" t="n">
        <v>31</v>
      </c>
      <c r="J7" s="6" t="n">
        <v>22</v>
      </c>
      <c r="K7" s="6" t="n">
        <v>14</v>
      </c>
      <c r="L7" s="6" t="n">
        <v>14</v>
      </c>
      <c r="M7" s="6" t="n">
        <v>7</v>
      </c>
      <c r="N7" s="6" t="n">
        <v>11</v>
      </c>
      <c r="O7" s="6" t="n">
        <f aca="false">SUM(C7:N7)</f>
        <v>885</v>
      </c>
      <c r="P7" s="6" t="n">
        <v>897</v>
      </c>
      <c r="Q7" s="6" t="n">
        <v>1052</v>
      </c>
      <c r="R7" s="7" t="n">
        <f aca="false">P7/Q7</f>
        <v>0.852661596958175</v>
      </c>
    </row>
    <row r="8" customFormat="false" ht="15" hidden="false" customHeight="false" outlineLevel="0" collapsed="false">
      <c r="A8" s="5" t="s">
        <v>41</v>
      </c>
      <c r="B8" s="5" t="s">
        <v>42</v>
      </c>
      <c r="C8" s="6" t="n">
        <v>402</v>
      </c>
      <c r="D8" s="6" t="n">
        <v>210</v>
      </c>
      <c r="E8" s="6" t="n">
        <v>82</v>
      </c>
      <c r="F8" s="6" t="n">
        <v>64</v>
      </c>
      <c r="G8" s="6" t="n">
        <v>74</v>
      </c>
      <c r="H8" s="6" t="n">
        <v>47</v>
      </c>
      <c r="I8" s="6" t="n">
        <v>33</v>
      </c>
      <c r="J8" s="6" t="n">
        <v>29</v>
      </c>
      <c r="K8" s="6" t="n">
        <v>25</v>
      </c>
      <c r="L8" s="6" t="n">
        <v>23</v>
      </c>
      <c r="M8" s="6" t="n">
        <v>7</v>
      </c>
      <c r="N8" s="6" t="n">
        <v>15</v>
      </c>
      <c r="O8" s="6" t="n">
        <f aca="false">SUM(C8:N8)</f>
        <v>1011</v>
      </c>
      <c r="P8" s="6" t="n">
        <v>1020</v>
      </c>
      <c r="Q8" s="6" t="n">
        <v>1237</v>
      </c>
      <c r="R8" s="7" t="n">
        <f aca="false">P8/Q8</f>
        <v>0.824575586095392</v>
      </c>
    </row>
    <row r="9" customFormat="false" ht="15" hidden="false" customHeight="false" outlineLevel="0" collapsed="false">
      <c r="A9" s="5" t="s">
        <v>43</v>
      </c>
      <c r="B9" s="5" t="s">
        <v>44</v>
      </c>
      <c r="C9" s="6" t="n">
        <v>386</v>
      </c>
      <c r="D9" s="6" t="n">
        <v>264</v>
      </c>
      <c r="E9" s="6" t="n">
        <v>111</v>
      </c>
      <c r="F9" s="6" t="n">
        <v>143</v>
      </c>
      <c r="G9" s="6" t="n">
        <v>79</v>
      </c>
      <c r="H9" s="6" t="n">
        <v>39</v>
      </c>
      <c r="I9" s="6" t="n">
        <v>30</v>
      </c>
      <c r="J9" s="6" t="n">
        <v>32</v>
      </c>
      <c r="K9" s="6" t="n">
        <v>30</v>
      </c>
      <c r="L9" s="6" t="n">
        <v>30</v>
      </c>
      <c r="M9" s="6" t="n">
        <v>11</v>
      </c>
      <c r="N9" s="6" t="n">
        <v>18</v>
      </c>
      <c r="O9" s="6" t="n">
        <f aca="false">SUM(C9:N9)</f>
        <v>1173</v>
      </c>
      <c r="P9" s="6" t="n">
        <v>1190</v>
      </c>
      <c r="Q9" s="6" t="n">
        <v>1457</v>
      </c>
      <c r="R9" s="7" t="n">
        <f aca="false">P9/Q9</f>
        <v>0.816746739876459</v>
      </c>
    </row>
    <row r="10" customFormat="false" ht="15" hidden="false" customHeight="false" outlineLevel="0" collapsed="false">
      <c r="A10" s="5" t="s">
        <v>45</v>
      </c>
      <c r="B10" s="5" t="s">
        <v>46</v>
      </c>
      <c r="C10" s="6" t="n">
        <v>259</v>
      </c>
      <c r="D10" s="6" t="n">
        <v>194</v>
      </c>
      <c r="E10" s="6" t="n">
        <v>68</v>
      </c>
      <c r="F10" s="6" t="n">
        <v>86</v>
      </c>
      <c r="G10" s="6" t="n">
        <v>87</v>
      </c>
      <c r="H10" s="6" t="n">
        <v>39</v>
      </c>
      <c r="I10" s="6" t="n">
        <v>36</v>
      </c>
      <c r="J10" s="6" t="n">
        <v>23</v>
      </c>
      <c r="K10" s="6" t="n">
        <v>31</v>
      </c>
      <c r="L10" s="6" t="n">
        <v>14</v>
      </c>
      <c r="M10" s="6" t="n">
        <v>10</v>
      </c>
      <c r="N10" s="6" t="n">
        <v>10</v>
      </c>
      <c r="O10" s="6" t="n">
        <f aca="false">SUM(C10:N10)</f>
        <v>857</v>
      </c>
      <c r="P10" s="6" t="n">
        <v>864</v>
      </c>
      <c r="Q10" s="6" t="n">
        <v>1052</v>
      </c>
      <c r="R10" s="7" t="n">
        <f aca="false">P10/Q10</f>
        <v>0.821292775665399</v>
      </c>
    </row>
    <row r="11" customFormat="false" ht="15" hidden="false" customHeight="false" outlineLevel="0" collapsed="false">
      <c r="A11" s="5" t="s">
        <v>47</v>
      </c>
      <c r="B11" s="5" t="s">
        <v>48</v>
      </c>
      <c r="C11" s="6" t="n">
        <v>302</v>
      </c>
      <c r="D11" s="6" t="n">
        <v>180</v>
      </c>
      <c r="E11" s="6" t="n">
        <v>72</v>
      </c>
      <c r="F11" s="6" t="n">
        <v>57</v>
      </c>
      <c r="G11" s="6" t="n">
        <v>75</v>
      </c>
      <c r="H11" s="6" t="n">
        <v>22</v>
      </c>
      <c r="I11" s="6" t="n">
        <v>22</v>
      </c>
      <c r="J11" s="6" t="n">
        <v>21</v>
      </c>
      <c r="K11" s="6" t="n">
        <v>14</v>
      </c>
      <c r="L11" s="6" t="n">
        <v>18</v>
      </c>
      <c r="M11" s="6" t="n">
        <v>7</v>
      </c>
      <c r="N11" s="6" t="n">
        <v>14</v>
      </c>
      <c r="O11" s="6" t="n">
        <f aca="false">SUM(C11:N11)</f>
        <v>804</v>
      </c>
      <c r="P11" s="6" t="n">
        <v>813</v>
      </c>
      <c r="Q11" s="6" t="n">
        <v>997</v>
      </c>
      <c r="R11" s="7" t="n">
        <f aca="false">P11/Q11</f>
        <v>0.815446339017051</v>
      </c>
    </row>
    <row r="12" customFormat="false" ht="15" hidden="false" customHeight="false" outlineLevel="0" collapsed="false">
      <c r="A12" s="5" t="s">
        <v>49</v>
      </c>
      <c r="B12" s="5" t="s">
        <v>50</v>
      </c>
      <c r="C12" s="6" t="n">
        <v>305</v>
      </c>
      <c r="D12" s="6" t="n">
        <v>235</v>
      </c>
      <c r="E12" s="6" t="n">
        <v>56</v>
      </c>
      <c r="F12" s="6" t="n">
        <v>83</v>
      </c>
      <c r="G12" s="6" t="n">
        <v>87</v>
      </c>
      <c r="H12" s="6" t="n">
        <v>44</v>
      </c>
      <c r="I12" s="6" t="n">
        <v>27</v>
      </c>
      <c r="J12" s="6" t="n">
        <v>20</v>
      </c>
      <c r="K12" s="6" t="n">
        <v>14</v>
      </c>
      <c r="L12" s="6" t="n">
        <v>13</v>
      </c>
      <c r="M12" s="6" t="n">
        <v>11</v>
      </c>
      <c r="N12" s="6" t="n">
        <v>22</v>
      </c>
      <c r="O12" s="6" t="n">
        <f aca="false">SUM(C12:N12)</f>
        <v>917</v>
      </c>
      <c r="P12" s="6" t="n">
        <v>927</v>
      </c>
      <c r="Q12" s="6" t="n">
        <v>1193</v>
      </c>
      <c r="R12" s="7" t="n">
        <f aca="false">P12/Q12</f>
        <v>0.777032690695725</v>
      </c>
    </row>
    <row r="13" customFormat="false" ht="15" hidden="false" customHeight="false" outlineLevel="0" collapsed="false">
      <c r="A13" s="5" t="s">
        <v>51</v>
      </c>
      <c r="B13" s="5" t="s">
        <v>52</v>
      </c>
      <c r="C13" s="6" t="n">
        <v>227</v>
      </c>
      <c r="D13" s="6" t="n">
        <v>209</v>
      </c>
      <c r="E13" s="6" t="n">
        <v>66</v>
      </c>
      <c r="F13" s="6" t="n">
        <v>104</v>
      </c>
      <c r="G13" s="6" t="n">
        <v>80</v>
      </c>
      <c r="H13" s="6" t="n">
        <v>35</v>
      </c>
      <c r="I13" s="6" t="n">
        <v>35</v>
      </c>
      <c r="J13" s="6" t="n">
        <v>21</v>
      </c>
      <c r="K13" s="6" t="n">
        <v>22</v>
      </c>
      <c r="L13" s="6" t="n">
        <v>14</v>
      </c>
      <c r="M13" s="6" t="n">
        <v>10</v>
      </c>
      <c r="N13" s="6" t="n">
        <v>14</v>
      </c>
      <c r="O13" s="6" t="n">
        <f aca="false">SUM(C13:N13)</f>
        <v>837</v>
      </c>
      <c r="P13" s="6" t="n">
        <v>843</v>
      </c>
      <c r="Q13" s="6" t="n">
        <v>1081</v>
      </c>
      <c r="R13" s="7" t="n">
        <f aca="false">P13/Q13</f>
        <v>0.779833487511563</v>
      </c>
    </row>
    <row r="14" customFormat="false" ht="15" hidden="false" customHeight="false" outlineLevel="0" collapsed="false">
      <c r="A14" s="5" t="s">
        <v>53</v>
      </c>
      <c r="B14" s="5" t="s">
        <v>54</v>
      </c>
      <c r="C14" s="6" t="n">
        <v>326</v>
      </c>
      <c r="D14" s="6" t="n">
        <v>257</v>
      </c>
      <c r="E14" s="6" t="n">
        <v>111</v>
      </c>
      <c r="F14" s="6" t="n">
        <v>102</v>
      </c>
      <c r="G14" s="6" t="n">
        <v>85</v>
      </c>
      <c r="H14" s="6" t="n">
        <v>46</v>
      </c>
      <c r="I14" s="6" t="n">
        <v>36</v>
      </c>
      <c r="J14" s="6" t="n">
        <v>42</v>
      </c>
      <c r="K14" s="6" t="n">
        <v>26</v>
      </c>
      <c r="L14" s="6" t="n">
        <v>23</v>
      </c>
      <c r="M14" s="6" t="n">
        <v>14</v>
      </c>
      <c r="N14" s="6" t="n">
        <v>8</v>
      </c>
      <c r="O14" s="6" t="n">
        <f aca="false">SUM(C14:N14)</f>
        <v>1076</v>
      </c>
      <c r="P14" s="6" t="n">
        <v>1084</v>
      </c>
      <c r="Q14" s="6" t="n">
        <v>1327</v>
      </c>
      <c r="R14" s="7" t="n">
        <f aca="false">P14/Q14</f>
        <v>0.816880180859081</v>
      </c>
    </row>
    <row r="15" customFormat="false" ht="15" hidden="false" customHeight="false" outlineLevel="0" collapsed="false">
      <c r="A15" s="5" t="s">
        <v>55</v>
      </c>
      <c r="B15" s="5" t="s">
        <v>56</v>
      </c>
      <c r="C15" s="6" t="n">
        <v>259</v>
      </c>
      <c r="D15" s="6" t="n">
        <v>234</v>
      </c>
      <c r="E15" s="6" t="n">
        <v>92</v>
      </c>
      <c r="F15" s="6" t="n">
        <v>97</v>
      </c>
      <c r="G15" s="6" t="n">
        <v>65</v>
      </c>
      <c r="H15" s="6" t="n">
        <v>60</v>
      </c>
      <c r="I15" s="6" t="n">
        <v>56</v>
      </c>
      <c r="J15" s="6" t="n">
        <v>27</v>
      </c>
      <c r="K15" s="6" t="n">
        <v>27</v>
      </c>
      <c r="L15" s="6" t="n">
        <v>18</v>
      </c>
      <c r="M15" s="6" t="n">
        <v>6</v>
      </c>
      <c r="N15" s="6" t="n">
        <v>10</v>
      </c>
      <c r="O15" s="6" t="n">
        <f aca="false">SUM(C15:N15)</f>
        <v>951</v>
      </c>
      <c r="P15" s="6" t="n">
        <v>963</v>
      </c>
      <c r="Q15" s="6" t="n">
        <v>1144</v>
      </c>
      <c r="R15" s="7" t="n">
        <f aca="false">P15/Q15</f>
        <v>0.841783216783217</v>
      </c>
    </row>
    <row r="16" customFormat="false" ht="15" hidden="false" customHeight="false" outlineLevel="0" collapsed="false">
      <c r="A16" s="5" t="s">
        <v>57</v>
      </c>
      <c r="B16" s="5" t="s">
        <v>58</v>
      </c>
      <c r="C16" s="6" t="n">
        <v>308</v>
      </c>
      <c r="D16" s="6" t="n">
        <v>234</v>
      </c>
      <c r="E16" s="6" t="n">
        <v>100</v>
      </c>
      <c r="F16" s="6" t="n">
        <v>105</v>
      </c>
      <c r="G16" s="6" t="n">
        <v>52</v>
      </c>
      <c r="H16" s="6" t="n">
        <v>52</v>
      </c>
      <c r="I16" s="6" t="n">
        <v>62</v>
      </c>
      <c r="J16" s="6" t="n">
        <v>53</v>
      </c>
      <c r="K16" s="6" t="n">
        <v>19</v>
      </c>
      <c r="L16" s="6" t="n">
        <v>13</v>
      </c>
      <c r="M16" s="6" t="n">
        <v>8</v>
      </c>
      <c r="N16" s="6" t="n">
        <v>15</v>
      </c>
      <c r="O16" s="6" t="n">
        <f aca="false">SUM(C16:N16)</f>
        <v>1021</v>
      </c>
      <c r="P16" s="6" t="n">
        <v>1034</v>
      </c>
      <c r="Q16" s="6" t="n">
        <v>1196</v>
      </c>
      <c r="R16" s="7" t="n">
        <f aca="false">P16/Q16</f>
        <v>0.864548494983278</v>
      </c>
    </row>
    <row r="17" customFormat="false" ht="15" hidden="false" customHeight="false" outlineLevel="0" collapsed="false">
      <c r="A17" s="5" t="s">
        <v>59</v>
      </c>
      <c r="B17" s="5" t="s">
        <v>60</v>
      </c>
      <c r="C17" s="6" t="n">
        <v>268</v>
      </c>
      <c r="D17" s="6" t="n">
        <v>204</v>
      </c>
      <c r="E17" s="6" t="n">
        <v>91</v>
      </c>
      <c r="F17" s="6" t="n">
        <v>68</v>
      </c>
      <c r="G17" s="6" t="n">
        <v>72</v>
      </c>
      <c r="H17" s="6" t="n">
        <v>35</v>
      </c>
      <c r="I17" s="6" t="n">
        <v>43</v>
      </c>
      <c r="J17" s="6" t="n">
        <v>30</v>
      </c>
      <c r="K17" s="6" t="n">
        <v>20</v>
      </c>
      <c r="L17" s="6" t="n">
        <v>12</v>
      </c>
      <c r="M17" s="6" t="n">
        <v>13</v>
      </c>
      <c r="N17" s="6" t="n">
        <v>10</v>
      </c>
      <c r="O17" s="6" t="n">
        <f aca="false">SUM(C17:N17)</f>
        <v>866</v>
      </c>
      <c r="P17" s="6" t="n">
        <v>876</v>
      </c>
      <c r="Q17" s="6" t="n">
        <v>1050</v>
      </c>
      <c r="R17" s="7" t="n">
        <f aca="false">P17/Q17</f>
        <v>0.834285714285714</v>
      </c>
    </row>
    <row r="18" customFormat="false" ht="15" hidden="false" customHeight="false" outlineLevel="0" collapsed="false">
      <c r="A18" s="5" t="s">
        <v>61</v>
      </c>
      <c r="B18" s="5" t="s">
        <v>62</v>
      </c>
      <c r="C18" s="6" t="n">
        <v>400</v>
      </c>
      <c r="D18" s="6" t="n">
        <v>224</v>
      </c>
      <c r="E18" s="6" t="n">
        <v>89</v>
      </c>
      <c r="F18" s="6" t="n">
        <v>62</v>
      </c>
      <c r="G18" s="6" t="n">
        <v>68</v>
      </c>
      <c r="H18" s="6" t="n">
        <v>21</v>
      </c>
      <c r="I18" s="6" t="n">
        <v>48</v>
      </c>
      <c r="J18" s="6" t="n">
        <v>17</v>
      </c>
      <c r="K18" s="6" t="n">
        <v>22</v>
      </c>
      <c r="L18" s="6" t="n">
        <v>18</v>
      </c>
      <c r="M18" s="6" t="n">
        <v>11</v>
      </c>
      <c r="N18" s="6" t="n">
        <v>10</v>
      </c>
      <c r="O18" s="6" t="n">
        <f aca="false">SUM(C18:N18)</f>
        <v>990</v>
      </c>
      <c r="P18" s="6" t="n">
        <v>998</v>
      </c>
      <c r="Q18" s="6" t="n">
        <v>1154</v>
      </c>
      <c r="R18" s="7" t="n">
        <f aca="false">P18/Q18</f>
        <v>0.864818024263432</v>
      </c>
    </row>
    <row r="19" customFormat="false" ht="15" hidden="false" customHeight="false" outlineLevel="0" collapsed="false">
      <c r="A19" s="5" t="s">
        <v>63</v>
      </c>
      <c r="B19" s="5" t="s">
        <v>64</v>
      </c>
      <c r="C19" s="6" t="n">
        <v>442</v>
      </c>
      <c r="D19" s="6" t="n">
        <v>222</v>
      </c>
      <c r="E19" s="6" t="n">
        <v>86</v>
      </c>
      <c r="F19" s="6" t="n">
        <v>61</v>
      </c>
      <c r="G19" s="6" t="n">
        <v>55</v>
      </c>
      <c r="H19" s="6" t="n">
        <v>22</v>
      </c>
      <c r="I19" s="6" t="n">
        <v>27</v>
      </c>
      <c r="J19" s="6" t="n">
        <v>27</v>
      </c>
      <c r="K19" s="6" t="n">
        <v>11</v>
      </c>
      <c r="L19" s="6" t="n">
        <v>21</v>
      </c>
      <c r="M19" s="6" t="n">
        <v>10</v>
      </c>
      <c r="N19" s="6" t="n">
        <v>14</v>
      </c>
      <c r="O19" s="6" t="n">
        <f aca="false">SUM(C19:N19)</f>
        <v>998</v>
      </c>
      <c r="P19" s="6" t="n">
        <v>1015</v>
      </c>
      <c r="Q19" s="6" t="n">
        <v>1237</v>
      </c>
      <c r="R19" s="7" t="n">
        <f aca="false">P19/Q19</f>
        <v>0.82053354890865</v>
      </c>
    </row>
    <row r="20" customFormat="false" ht="15" hidden="false" customHeight="false" outlineLevel="0" collapsed="false">
      <c r="A20" s="5" t="s">
        <v>65</v>
      </c>
      <c r="B20" s="5" t="s">
        <v>66</v>
      </c>
      <c r="C20" s="6" t="n">
        <v>344</v>
      </c>
      <c r="D20" s="6" t="n">
        <v>219</v>
      </c>
      <c r="E20" s="6" t="n">
        <v>107</v>
      </c>
      <c r="F20" s="6" t="n">
        <v>83</v>
      </c>
      <c r="G20" s="6" t="n">
        <v>52</v>
      </c>
      <c r="H20" s="6" t="n">
        <v>24</v>
      </c>
      <c r="I20" s="6" t="n">
        <v>36</v>
      </c>
      <c r="J20" s="6" t="n">
        <v>29</v>
      </c>
      <c r="K20" s="6" t="n">
        <v>15</v>
      </c>
      <c r="L20" s="6" t="n">
        <v>15</v>
      </c>
      <c r="M20" s="6" t="n">
        <v>6</v>
      </c>
      <c r="N20" s="6" t="n">
        <v>16</v>
      </c>
      <c r="O20" s="6" t="n">
        <f aca="false">SUM(C20:N20)</f>
        <v>946</v>
      </c>
      <c r="P20" s="6" t="n">
        <v>957</v>
      </c>
      <c r="Q20" s="6" t="n">
        <v>1121</v>
      </c>
      <c r="R20" s="7" t="n">
        <f aca="false">P20/Q20</f>
        <v>0.853702051739518</v>
      </c>
    </row>
    <row r="21" customFormat="false" ht="15" hidden="false" customHeight="false" outlineLevel="0" collapsed="false">
      <c r="A21" s="5" t="s">
        <v>67</v>
      </c>
      <c r="B21" s="5" t="s">
        <v>68</v>
      </c>
      <c r="C21" s="6" t="n">
        <v>364</v>
      </c>
      <c r="D21" s="6" t="n">
        <v>191</v>
      </c>
      <c r="E21" s="6" t="n">
        <v>89</v>
      </c>
      <c r="F21" s="6" t="n">
        <v>86</v>
      </c>
      <c r="G21" s="6" t="n">
        <v>70</v>
      </c>
      <c r="H21" s="6" t="n">
        <v>31</v>
      </c>
      <c r="I21" s="6" t="n">
        <v>22</v>
      </c>
      <c r="J21" s="6" t="n">
        <v>16</v>
      </c>
      <c r="K21" s="6" t="n">
        <v>17</v>
      </c>
      <c r="L21" s="6" t="n">
        <v>15</v>
      </c>
      <c r="M21" s="6" t="n">
        <v>12</v>
      </c>
      <c r="N21" s="6" t="n">
        <v>20</v>
      </c>
      <c r="O21" s="6" t="n">
        <f aca="false">SUM(C21:N21)</f>
        <v>933</v>
      </c>
      <c r="P21" s="6" t="n">
        <v>947</v>
      </c>
      <c r="Q21" s="6" t="n">
        <v>1239</v>
      </c>
      <c r="R21" s="7" t="n">
        <f aca="false">P21/Q21</f>
        <v>0.764326069410815</v>
      </c>
    </row>
    <row r="22" customFormat="false" ht="15" hidden="false" customHeight="false" outlineLevel="0" collapsed="false">
      <c r="A22" s="5" t="s">
        <v>69</v>
      </c>
      <c r="B22" s="5" t="s">
        <v>70</v>
      </c>
      <c r="C22" s="6" t="n">
        <v>378</v>
      </c>
      <c r="D22" s="6" t="n">
        <v>246</v>
      </c>
      <c r="E22" s="6" t="n">
        <v>100</v>
      </c>
      <c r="F22" s="6" t="n">
        <v>52</v>
      </c>
      <c r="G22" s="6" t="n">
        <v>55</v>
      </c>
      <c r="H22" s="6" t="n">
        <v>32</v>
      </c>
      <c r="I22" s="6" t="n">
        <v>41</v>
      </c>
      <c r="J22" s="6" t="n">
        <v>33</v>
      </c>
      <c r="K22" s="6" t="n">
        <v>13</v>
      </c>
      <c r="L22" s="6" t="n">
        <v>16</v>
      </c>
      <c r="M22" s="6" t="n">
        <v>11</v>
      </c>
      <c r="N22" s="6" t="n">
        <v>14</v>
      </c>
      <c r="O22" s="6" t="n">
        <f aca="false">SUM(C22:N22)</f>
        <v>991</v>
      </c>
      <c r="P22" s="6" t="n">
        <v>1007</v>
      </c>
      <c r="Q22" s="6" t="n">
        <v>1229</v>
      </c>
      <c r="R22" s="7" t="n">
        <f aca="false">P22/Q22</f>
        <v>0.819365337672905</v>
      </c>
    </row>
    <row r="23" customFormat="false" ht="15" hidden="false" customHeight="false" outlineLevel="0" collapsed="false">
      <c r="A23" s="5" t="s">
        <v>71</v>
      </c>
      <c r="B23" s="5" t="s">
        <v>72</v>
      </c>
      <c r="C23" s="6" t="n">
        <v>275</v>
      </c>
      <c r="D23" s="6" t="n">
        <v>245</v>
      </c>
      <c r="E23" s="6" t="n">
        <v>59</v>
      </c>
      <c r="F23" s="6" t="n">
        <v>79</v>
      </c>
      <c r="G23" s="6" t="n">
        <v>93</v>
      </c>
      <c r="H23" s="6" t="n">
        <v>31</v>
      </c>
      <c r="I23" s="6" t="n">
        <v>31</v>
      </c>
      <c r="J23" s="6" t="n">
        <v>30</v>
      </c>
      <c r="K23" s="6" t="n">
        <v>32</v>
      </c>
      <c r="L23" s="6" t="n">
        <v>16</v>
      </c>
      <c r="M23" s="6" t="n">
        <v>7</v>
      </c>
      <c r="N23" s="6" t="n">
        <v>24</v>
      </c>
      <c r="O23" s="6" t="n">
        <f aca="false">SUM(C23:N23)</f>
        <v>922</v>
      </c>
      <c r="P23" s="6" t="n">
        <v>932</v>
      </c>
      <c r="Q23" s="6" t="n">
        <v>1182</v>
      </c>
      <c r="R23" s="7" t="n">
        <f aca="false">P23/Q23</f>
        <v>0.788494077834179</v>
      </c>
    </row>
    <row r="24" customFormat="false" ht="15" hidden="false" customHeight="false" outlineLevel="0" collapsed="false">
      <c r="A24" s="5" t="s">
        <v>73</v>
      </c>
      <c r="B24" s="5" t="s">
        <v>74</v>
      </c>
      <c r="C24" s="6" t="n">
        <v>360</v>
      </c>
      <c r="D24" s="6" t="n">
        <v>240</v>
      </c>
      <c r="E24" s="6" t="n">
        <v>93</v>
      </c>
      <c r="F24" s="6" t="n">
        <v>54</v>
      </c>
      <c r="G24" s="6" t="n">
        <v>75</v>
      </c>
      <c r="H24" s="6" t="n">
        <v>36</v>
      </c>
      <c r="I24" s="6" t="n">
        <v>28</v>
      </c>
      <c r="J24" s="6" t="n">
        <v>25</v>
      </c>
      <c r="K24" s="6" t="n">
        <v>22</v>
      </c>
      <c r="L24" s="6" t="n">
        <v>14</v>
      </c>
      <c r="M24" s="6" t="n">
        <v>15</v>
      </c>
      <c r="N24" s="6" t="n">
        <v>16</v>
      </c>
      <c r="O24" s="6" t="n">
        <f aca="false">SUM(C24:N24)</f>
        <v>978</v>
      </c>
      <c r="P24" s="6" t="n">
        <v>988</v>
      </c>
      <c r="Q24" s="6" t="n">
        <v>1227</v>
      </c>
      <c r="R24" s="7" t="n">
        <f aca="false">P24/Q24</f>
        <v>0.80521597392013</v>
      </c>
    </row>
    <row r="25" customFormat="false" ht="15" hidden="false" customHeight="false" outlineLevel="0" collapsed="false">
      <c r="A25" s="11"/>
      <c r="B25" s="11" t="s">
        <v>75</v>
      </c>
      <c r="C25" s="12" t="n">
        <f aca="false">SUM(C2:C24)</f>
        <v>7479</v>
      </c>
      <c r="D25" s="12" t="n">
        <f aca="false">SUM(D2:D24)</f>
        <v>4997</v>
      </c>
      <c r="E25" s="12" t="n">
        <f aca="false">SUM(E2:E24)</f>
        <v>2067</v>
      </c>
      <c r="F25" s="12" t="n">
        <f aca="false">SUM(F2:F24)</f>
        <v>1783</v>
      </c>
      <c r="G25" s="12" t="n">
        <f aca="false">SUM(G2:G24)</f>
        <v>1578</v>
      </c>
      <c r="H25" s="12" t="n">
        <f aca="false">SUM(H2:H24)</f>
        <v>848</v>
      </c>
      <c r="I25" s="12" t="n">
        <f aca="false">SUM(I2:I24)</f>
        <v>844</v>
      </c>
      <c r="J25" s="12" t="n">
        <f aca="false">SUM(J2:J24)</f>
        <v>627</v>
      </c>
      <c r="K25" s="12" t="n">
        <f aca="false">SUM(K2:K24)</f>
        <v>478</v>
      </c>
      <c r="L25" s="12" t="n">
        <f aca="false">SUM(L2:L24)</f>
        <v>373</v>
      </c>
      <c r="M25" s="12" t="n">
        <f aca="false">SUM(M2:M24)</f>
        <v>220</v>
      </c>
      <c r="N25" s="12" t="n">
        <f aca="false">SUM(N2:N24)</f>
        <v>326</v>
      </c>
      <c r="O25" s="12" t="n">
        <f aca="false">SUM(O2:O24)</f>
        <v>21620</v>
      </c>
      <c r="P25" s="12" t="n">
        <f aca="false">SUM(P2:P24)</f>
        <v>21865</v>
      </c>
      <c r="Q25" s="12" t="n">
        <f aca="false">SUM(Q2:Q24)</f>
        <v>26737</v>
      </c>
      <c r="R25" s="13" t="n">
        <f aca="false">P25/Q25</f>
        <v>0.817780603657852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8" t="s">
        <v>76</v>
      </c>
    </row>
    <row r="2" customFormat="false" ht="15" hidden="false" customHeight="false" outlineLevel="0" collapsed="false">
      <c r="A2" s="14"/>
    </row>
    <row r="3" customFormat="false" ht="15" hidden="false" customHeight="false" outlineLevel="0" collapsed="false">
      <c r="A3" s="14" t="s">
        <v>77</v>
      </c>
    </row>
    <row r="4" customFormat="false" ht="15" hidden="false" customHeight="false" outlineLevel="0" collapsed="false">
      <c r="A4" s="14" t="s">
        <v>78</v>
      </c>
    </row>
    <row r="5" customFormat="false" ht="15" hidden="false" customHeight="false" outlineLevel="0" collapsed="false">
      <c r="A5" s="14" t="s">
        <v>79</v>
      </c>
    </row>
    <row r="6" customFormat="false" ht="15" hidden="false" customHeight="false" outlineLevel="0" collapsed="false">
      <c r="A6" s="14" t="s">
        <v>80</v>
      </c>
    </row>
    <row r="7" customFormat="false" ht="15" hidden="false" customHeight="false" outlineLevel="0" collapsed="false">
      <c r="A7" s="14"/>
    </row>
    <row r="8" customFormat="false" ht="15" hidden="false" customHeight="false" outlineLevel="0" collapsed="false">
      <c r="A8" s="14" t="s">
        <v>81</v>
      </c>
    </row>
    <row r="9" customFormat="false" ht="15" hidden="false" customHeight="false" outlineLevel="0" collapsed="false">
      <c r="A9" s="14" t="s">
        <v>82</v>
      </c>
    </row>
    <row r="10" customFormat="false" ht="15" hidden="false" customHeight="false" outlineLevel="0" collapsed="false">
      <c r="A10" s="14" t="s">
        <v>83</v>
      </c>
    </row>
    <row r="11" customFormat="false" ht="15" hidden="false" customHeight="false" outlineLevel="0" collapsed="false">
      <c r="A11" s="14" t="s">
        <v>84</v>
      </c>
    </row>
    <row r="12" customFormat="false" ht="15" hidden="false" customHeight="false" outlineLevel="0" collapsed="false">
      <c r="A12" s="14"/>
    </row>
    <row r="13" customFormat="false" ht="15" hidden="false" customHeight="false" outlineLevel="0" collapsed="false">
      <c r="A13" s="14" t="s">
        <v>85</v>
      </c>
    </row>
    <row r="14" customFormat="false" ht="15" hidden="false" customHeight="false" outlineLevel="0" collapsed="false">
      <c r="A14" s="14"/>
    </row>
    <row r="15" customFormat="false" ht="15" hidden="false" customHeight="false" outlineLevel="0" collapsed="false">
      <c r="A15" s="14" t="s">
        <v>86</v>
      </c>
    </row>
    <row r="16" customFormat="false" ht="15" hidden="false" customHeight="false" outlineLevel="0" collapsed="false">
      <c r="A16" s="14" t="s">
        <v>87</v>
      </c>
    </row>
    <row r="17" customFormat="false" ht="15" hidden="false" customHeight="false" outlineLevel="0" collapsed="false">
      <c r="A17" s="14" t="s">
        <v>88</v>
      </c>
    </row>
    <row r="18" customFormat="false" ht="15" hidden="false" customHeight="false" outlineLevel="0" collapsed="false">
      <c r="A18" s="14" t="s">
        <v>89</v>
      </c>
    </row>
    <row r="19" customFormat="false" ht="15" hidden="false" customHeight="false" outlineLevel="0" collapsed="false">
      <c r="A19" s="14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2026-09-02T20:10:45Z</dcterms:created>
  <dc:creator>openpyxl</dc:creator>
  <dc:description/>
  <dc:language>en-US</dc:language>
  <cp:lastModifiedBy/>
  <dcterms:modified xsi:type="dcterms:W3CDTF">2026-09-02T20:10:46Z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